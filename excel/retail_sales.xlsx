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ence Mugwagwa\Data_Analytics_projects\Excel_Projects\"/>
    </mc:Choice>
  </mc:AlternateContent>
  <xr:revisionPtr revIDLastSave="0" documentId="8_{F966108C-5F3A-47FE-8366-32DC68616DD3}" xr6:coauthVersionLast="47" xr6:coauthVersionMax="47" xr10:uidLastSave="{00000000-0000-0000-0000-000000000000}"/>
  <bookViews>
    <workbookView xWindow="-120" yWindow="-120" windowWidth="20730" windowHeight="11040" activeTab="1" xr2:uid="{22DAF62E-1A14-4189-BFDD-B040DA003083}"/>
  </bookViews>
  <sheets>
    <sheet name="retail_sales" sheetId="1" r:id="rId1"/>
    <sheet name="Pivots" sheetId="2" r:id="rId2"/>
  </sheets>
  <definedNames>
    <definedName name="_xlnm._FilterDatabase" localSheetId="0" hidden="1">retail_sales!$A$1:$J$301</definedName>
  </definedNames>
  <calcPr calcId="0"/>
  <pivotCaches>
    <pivotCache cacheId="31" r:id="rId3"/>
  </pivotCaches>
</workbook>
</file>

<file path=xl/calcChain.xml><?xml version="1.0" encoding="utf-8"?>
<calcChain xmlns="http://schemas.openxmlformats.org/spreadsheetml/2006/main">
  <c r="C41" i="2" l="1"/>
  <c r="C40" i="2"/>
  <c r="C39" i="2"/>
  <c r="C38" i="2"/>
  <c r="C37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2" i="1"/>
</calcChain>
</file>

<file path=xl/sharedStrings.xml><?xml version="1.0" encoding="utf-8"?>
<sst xmlns="http://schemas.openxmlformats.org/spreadsheetml/2006/main" count="1251" uniqueCount="41">
  <si>
    <t>Date</t>
  </si>
  <si>
    <t>Store_Branch</t>
  </si>
  <si>
    <t>Product_Category</t>
  </si>
  <si>
    <t>Gender</t>
  </si>
  <si>
    <t>Age</t>
  </si>
  <si>
    <t>Units_Sold</t>
  </si>
  <si>
    <t>Unit_Price</t>
  </si>
  <si>
    <t>Discount</t>
  </si>
  <si>
    <t>Payment_Type</t>
  </si>
  <si>
    <t>Total_Sales</t>
  </si>
  <si>
    <t>Cape Town</t>
  </si>
  <si>
    <t>Women Clothing</t>
  </si>
  <si>
    <t>Male</t>
  </si>
  <si>
    <t>EFT</t>
  </si>
  <si>
    <t>Female</t>
  </si>
  <si>
    <t>Johannesburg</t>
  </si>
  <si>
    <t>Card</t>
  </si>
  <si>
    <t>Durban</t>
  </si>
  <si>
    <t>Kids Clothing</t>
  </si>
  <si>
    <t>Cash</t>
  </si>
  <si>
    <t>Pretoria</t>
  </si>
  <si>
    <t>Men Clothing</t>
  </si>
  <si>
    <t>Footwear</t>
  </si>
  <si>
    <t>Accessories</t>
  </si>
  <si>
    <t>Age_Group</t>
  </si>
  <si>
    <t>Sum of Total_Sales</t>
  </si>
  <si>
    <t>Sum of Units_Sold</t>
  </si>
  <si>
    <t>Average Units per Transaction</t>
  </si>
  <si>
    <t>Row Labels</t>
  </si>
  <si>
    <t>Grand Total</t>
  </si>
  <si>
    <t>Young Adult</t>
  </si>
  <si>
    <t>Senior</t>
  </si>
  <si>
    <t>Adult</t>
  </si>
  <si>
    <t>Youth</t>
  </si>
  <si>
    <t>Sales by branch</t>
  </si>
  <si>
    <t>Sales by product category</t>
  </si>
  <si>
    <t>Total Sales overview</t>
  </si>
  <si>
    <t>Sales by Gender</t>
  </si>
  <si>
    <t>Sales by Age group</t>
  </si>
  <si>
    <t>Sales proportion(%)</t>
  </si>
  <si>
    <t>Discount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</si>
</sst>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4" borderId="0" xfId="0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rence Mugwagwa" refreshedDate="45991.857386689815" createdVersion="8" refreshedVersion="8" minRefreshableVersion="3" recordCount="300" xr:uid="{56931265-CD5C-4183-8369-5E4FC035F08C}">
  <cacheSource type="worksheet">
    <worksheetSource ref="A1:K301" sheet="retail_sales"/>
  </cacheSource>
  <cacheFields count="11">
    <cacheField name="Date" numFmtId="14">
      <sharedItems containsSemiMixedTypes="0" containsNonDate="0" containsDate="1" containsString="0" minDate="2023-01-01T00:00:00" maxDate="2023-06-30T00:00:00"/>
    </cacheField>
    <cacheField name="Store_Branch" numFmtId="0">
      <sharedItems count="4">
        <s v="Cape Town"/>
        <s v="Johannesburg"/>
        <s v="Durban"/>
        <s v="Pretoria"/>
      </sharedItems>
    </cacheField>
    <cacheField name="Product_Category" numFmtId="0">
      <sharedItems count="5">
        <s v="Women Clothing"/>
        <s v="Kids Clothing"/>
        <s v="Men Clothing"/>
        <s v="Footwear"/>
        <s v="Accessories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59"/>
    </cacheField>
    <cacheField name="Units_Sold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containsInteger="1" minValue="81" maxValue="1498"/>
    </cacheField>
    <cacheField name="Discount" numFmtId="0">
      <sharedItems containsSemiMixedTypes="0" containsString="0" containsNumber="1" containsInteger="1" minValue="0" maxValue="20" count="5">
        <n v="5"/>
        <n v="20"/>
        <n v="0"/>
        <n v="10"/>
        <n v="15"/>
      </sharedItems>
    </cacheField>
    <cacheField name="Payment_Type" numFmtId="0">
      <sharedItems/>
    </cacheField>
    <cacheField name="Total_Sales" numFmtId="2">
      <sharedItems containsSemiMixedTypes="0" containsString="0" containsNumber="1" minValue="88.2" maxValue="11898.9"/>
    </cacheField>
    <cacheField name="Age_Group" numFmtId="0">
      <sharedItems count="4">
        <s v="Youth"/>
        <s v="Young Adult"/>
        <s v="Senior"/>
        <s v="Adul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d v="2023-04-13T00:00:00"/>
    <x v="0"/>
    <x v="0"/>
    <x v="0"/>
    <n v="23"/>
    <n v="9"/>
    <n v="151"/>
    <x v="0"/>
    <s v="EFT"/>
    <n v="1291.05"/>
    <x v="0"/>
  </r>
  <r>
    <d v="2023-06-29T00:00:00"/>
    <x v="0"/>
    <x v="0"/>
    <x v="1"/>
    <n v="23"/>
    <n v="8"/>
    <n v="353"/>
    <x v="0"/>
    <s v="EFT"/>
    <n v="2682.7999999999997"/>
    <x v="0"/>
  </r>
  <r>
    <d v="2023-04-03T00:00:00"/>
    <x v="1"/>
    <x v="0"/>
    <x v="1"/>
    <n v="20"/>
    <n v="1"/>
    <n v="1423"/>
    <x v="1"/>
    <s v="Card"/>
    <n v="1138.4000000000001"/>
    <x v="0"/>
  </r>
  <r>
    <d v="2023-01-15T00:00:00"/>
    <x v="2"/>
    <x v="0"/>
    <x v="1"/>
    <n v="24"/>
    <n v="1"/>
    <n v="417"/>
    <x v="2"/>
    <s v="EFT"/>
    <n v="417"/>
    <x v="0"/>
  </r>
  <r>
    <d v="2023-04-17T00:00:00"/>
    <x v="0"/>
    <x v="1"/>
    <x v="0"/>
    <n v="25"/>
    <n v="9"/>
    <n v="1469"/>
    <x v="3"/>
    <s v="Cash"/>
    <n v="11898.9"/>
    <x v="1"/>
  </r>
  <r>
    <d v="2023-03-13T00:00:00"/>
    <x v="3"/>
    <x v="2"/>
    <x v="1"/>
    <n v="59"/>
    <n v="8"/>
    <n v="686"/>
    <x v="1"/>
    <s v="Cash"/>
    <n v="4390.4000000000005"/>
    <x v="2"/>
  </r>
  <r>
    <d v="2023-01-21T00:00:00"/>
    <x v="2"/>
    <x v="3"/>
    <x v="0"/>
    <n v="32"/>
    <n v="9"/>
    <n v="245"/>
    <x v="3"/>
    <s v="Card"/>
    <n v="1984.5"/>
    <x v="1"/>
  </r>
  <r>
    <d v="2023-04-13T00:00:00"/>
    <x v="2"/>
    <x v="0"/>
    <x v="1"/>
    <n v="46"/>
    <n v="7"/>
    <n v="90"/>
    <x v="2"/>
    <s v="Cash"/>
    <n v="630"/>
    <x v="3"/>
  </r>
  <r>
    <d v="2023-05-02T00:00:00"/>
    <x v="0"/>
    <x v="4"/>
    <x v="0"/>
    <n v="50"/>
    <n v="3"/>
    <n v="1404"/>
    <x v="2"/>
    <s v="Cash"/>
    <n v="4212"/>
    <x v="2"/>
  </r>
  <r>
    <d v="2023-03-16T00:00:00"/>
    <x v="1"/>
    <x v="0"/>
    <x v="0"/>
    <n v="47"/>
    <n v="3"/>
    <n v="808"/>
    <x v="1"/>
    <s v="EFT"/>
    <n v="1939.2"/>
    <x v="3"/>
  </r>
  <r>
    <d v="2023-03-29T00:00:00"/>
    <x v="0"/>
    <x v="4"/>
    <x v="0"/>
    <n v="56"/>
    <n v="2"/>
    <n v="880"/>
    <x v="2"/>
    <s v="Cash"/>
    <n v="1760"/>
    <x v="2"/>
  </r>
  <r>
    <d v="2023-04-27T00:00:00"/>
    <x v="1"/>
    <x v="1"/>
    <x v="1"/>
    <n v="44"/>
    <n v="5"/>
    <n v="181"/>
    <x v="4"/>
    <s v="Card"/>
    <n v="769.25"/>
    <x v="3"/>
  </r>
  <r>
    <d v="2023-04-10T00:00:00"/>
    <x v="3"/>
    <x v="4"/>
    <x v="1"/>
    <n v="53"/>
    <n v="3"/>
    <n v="1495"/>
    <x v="0"/>
    <s v="EFT"/>
    <n v="4260.75"/>
    <x v="2"/>
  </r>
  <r>
    <d v="2023-04-14T00:00:00"/>
    <x v="2"/>
    <x v="3"/>
    <x v="1"/>
    <n v="46"/>
    <n v="6"/>
    <n v="858"/>
    <x v="1"/>
    <s v="EFT"/>
    <n v="4118.4000000000005"/>
    <x v="3"/>
  </r>
  <r>
    <d v="2023-06-01T00:00:00"/>
    <x v="3"/>
    <x v="2"/>
    <x v="1"/>
    <n v="55"/>
    <n v="2"/>
    <n v="293"/>
    <x v="3"/>
    <s v="Card"/>
    <n v="527.4"/>
    <x v="2"/>
  </r>
  <r>
    <d v="2023-05-11T00:00:00"/>
    <x v="1"/>
    <x v="4"/>
    <x v="0"/>
    <n v="50"/>
    <n v="3"/>
    <n v="1191"/>
    <x v="4"/>
    <s v="EFT"/>
    <n v="3037.0499999999997"/>
    <x v="2"/>
  </r>
  <r>
    <d v="2023-05-30T00:00:00"/>
    <x v="1"/>
    <x v="4"/>
    <x v="1"/>
    <n v="54"/>
    <n v="5"/>
    <n v="480"/>
    <x v="1"/>
    <s v="EFT"/>
    <n v="1920"/>
    <x v="2"/>
  </r>
  <r>
    <d v="2023-02-22T00:00:00"/>
    <x v="3"/>
    <x v="2"/>
    <x v="1"/>
    <n v="44"/>
    <n v="1"/>
    <n v="667"/>
    <x v="2"/>
    <s v="Card"/>
    <n v="667"/>
    <x v="3"/>
  </r>
  <r>
    <d v="2023-01-02T00:00:00"/>
    <x v="1"/>
    <x v="3"/>
    <x v="0"/>
    <n v="50"/>
    <n v="1"/>
    <n v="968"/>
    <x v="2"/>
    <s v="EFT"/>
    <n v="968"/>
    <x v="2"/>
  </r>
  <r>
    <d v="2023-03-29T00:00:00"/>
    <x v="3"/>
    <x v="0"/>
    <x v="0"/>
    <n v="21"/>
    <n v="9"/>
    <n v="1149"/>
    <x v="2"/>
    <s v="Card"/>
    <n v="10341"/>
    <x v="0"/>
  </r>
  <r>
    <d v="2023-06-07T00:00:00"/>
    <x v="2"/>
    <x v="4"/>
    <x v="0"/>
    <n v="39"/>
    <n v="7"/>
    <n v="671"/>
    <x v="2"/>
    <s v="Card"/>
    <n v="4697"/>
    <x v="3"/>
  </r>
  <r>
    <d v="2023-02-07T00:00:00"/>
    <x v="3"/>
    <x v="2"/>
    <x v="1"/>
    <n v="19"/>
    <n v="1"/>
    <n v="1413"/>
    <x v="3"/>
    <s v="Cash"/>
    <n v="1271.7"/>
    <x v="0"/>
  </r>
  <r>
    <d v="2023-05-10T00:00:00"/>
    <x v="2"/>
    <x v="1"/>
    <x v="0"/>
    <n v="27"/>
    <n v="8"/>
    <n v="1189"/>
    <x v="4"/>
    <s v="Cash"/>
    <n v="8085.2"/>
    <x v="1"/>
  </r>
  <r>
    <d v="2023-01-21T00:00:00"/>
    <x v="3"/>
    <x v="2"/>
    <x v="0"/>
    <n v="22"/>
    <n v="3"/>
    <n v="171"/>
    <x v="0"/>
    <s v="EFT"/>
    <n v="487.34999999999997"/>
    <x v="0"/>
  </r>
  <r>
    <d v="2023-06-10T00:00:00"/>
    <x v="1"/>
    <x v="1"/>
    <x v="0"/>
    <n v="27"/>
    <n v="8"/>
    <n v="752"/>
    <x v="3"/>
    <s v="EFT"/>
    <n v="5414.4000000000005"/>
    <x v="1"/>
  </r>
  <r>
    <d v="2023-02-27T00:00:00"/>
    <x v="3"/>
    <x v="3"/>
    <x v="1"/>
    <n v="50"/>
    <n v="5"/>
    <n v="793"/>
    <x v="3"/>
    <s v="Card"/>
    <n v="3568.5"/>
    <x v="2"/>
  </r>
  <r>
    <d v="2023-01-22T00:00:00"/>
    <x v="1"/>
    <x v="0"/>
    <x v="0"/>
    <n v="55"/>
    <n v="1"/>
    <n v="1015"/>
    <x v="0"/>
    <s v="EFT"/>
    <n v="964.25"/>
    <x v="2"/>
  </r>
  <r>
    <d v="2023-03-30T00:00:00"/>
    <x v="3"/>
    <x v="2"/>
    <x v="1"/>
    <n v="30"/>
    <n v="7"/>
    <n v="321"/>
    <x v="0"/>
    <s v="Card"/>
    <n v="2134.65"/>
    <x v="1"/>
  </r>
  <r>
    <d v="2023-02-18T00:00:00"/>
    <x v="3"/>
    <x v="4"/>
    <x v="1"/>
    <n v="48"/>
    <n v="5"/>
    <n v="81"/>
    <x v="2"/>
    <s v="Card"/>
    <n v="405"/>
    <x v="3"/>
  </r>
  <r>
    <d v="2023-02-28T00:00:00"/>
    <x v="0"/>
    <x v="3"/>
    <x v="0"/>
    <n v="53"/>
    <n v="6"/>
    <n v="304"/>
    <x v="3"/>
    <s v="EFT"/>
    <n v="1641.6000000000001"/>
    <x v="2"/>
  </r>
  <r>
    <d v="2023-06-19T00:00:00"/>
    <x v="1"/>
    <x v="2"/>
    <x v="0"/>
    <n v="41"/>
    <n v="6"/>
    <n v="880"/>
    <x v="1"/>
    <s v="Card"/>
    <n v="4224"/>
    <x v="3"/>
  </r>
  <r>
    <d v="2023-01-15T00:00:00"/>
    <x v="0"/>
    <x v="4"/>
    <x v="1"/>
    <n v="32"/>
    <n v="8"/>
    <n v="668"/>
    <x v="0"/>
    <s v="Cash"/>
    <n v="5076.8"/>
    <x v="1"/>
  </r>
  <r>
    <d v="2023-06-24T00:00:00"/>
    <x v="1"/>
    <x v="2"/>
    <x v="0"/>
    <n v="46"/>
    <n v="9"/>
    <n v="195"/>
    <x v="0"/>
    <s v="EFT"/>
    <n v="1667.25"/>
    <x v="3"/>
  </r>
  <r>
    <d v="2023-02-20T00:00:00"/>
    <x v="0"/>
    <x v="1"/>
    <x v="0"/>
    <n v="25"/>
    <n v="2"/>
    <n v="997"/>
    <x v="4"/>
    <s v="Cash"/>
    <n v="1694.8999999999999"/>
    <x v="1"/>
  </r>
  <r>
    <d v="2023-04-18T00:00:00"/>
    <x v="2"/>
    <x v="2"/>
    <x v="1"/>
    <n v="22"/>
    <n v="9"/>
    <n v="1206"/>
    <x v="1"/>
    <s v="EFT"/>
    <n v="8683.2000000000007"/>
    <x v="0"/>
  </r>
  <r>
    <d v="2023-02-24T00:00:00"/>
    <x v="3"/>
    <x v="2"/>
    <x v="1"/>
    <n v="46"/>
    <n v="9"/>
    <n v="273"/>
    <x v="1"/>
    <s v="Card"/>
    <n v="1965.6000000000001"/>
    <x v="3"/>
  </r>
  <r>
    <d v="2023-03-05T00:00:00"/>
    <x v="1"/>
    <x v="2"/>
    <x v="0"/>
    <n v="21"/>
    <n v="7"/>
    <n v="1269"/>
    <x v="0"/>
    <s v="EFT"/>
    <n v="8438.85"/>
    <x v="0"/>
  </r>
  <r>
    <d v="2023-05-11T00:00:00"/>
    <x v="1"/>
    <x v="3"/>
    <x v="1"/>
    <n v="29"/>
    <n v="1"/>
    <n v="950"/>
    <x v="2"/>
    <s v="Cash"/>
    <n v="950"/>
    <x v="1"/>
  </r>
  <r>
    <d v="2023-02-20T00:00:00"/>
    <x v="3"/>
    <x v="2"/>
    <x v="0"/>
    <n v="19"/>
    <n v="7"/>
    <n v="169"/>
    <x v="4"/>
    <s v="Card"/>
    <n v="1005.55"/>
    <x v="0"/>
  </r>
  <r>
    <d v="2023-05-15T00:00:00"/>
    <x v="1"/>
    <x v="4"/>
    <x v="0"/>
    <n v="44"/>
    <n v="5"/>
    <n v="201"/>
    <x v="1"/>
    <s v="EFT"/>
    <n v="804"/>
    <x v="3"/>
  </r>
  <r>
    <d v="2023-01-21T00:00:00"/>
    <x v="1"/>
    <x v="1"/>
    <x v="0"/>
    <n v="48"/>
    <n v="6"/>
    <n v="222"/>
    <x v="0"/>
    <s v="EFT"/>
    <n v="1265.3999999999999"/>
    <x v="3"/>
  </r>
  <r>
    <d v="2023-03-14T00:00:00"/>
    <x v="0"/>
    <x v="1"/>
    <x v="1"/>
    <n v="53"/>
    <n v="7"/>
    <n v="1073"/>
    <x v="1"/>
    <s v="EFT"/>
    <n v="6008.8"/>
    <x v="2"/>
  </r>
  <r>
    <d v="2023-06-16T00:00:00"/>
    <x v="1"/>
    <x v="2"/>
    <x v="0"/>
    <n v="53"/>
    <n v="5"/>
    <n v="185"/>
    <x v="4"/>
    <s v="Cash"/>
    <n v="786.25"/>
    <x v="2"/>
  </r>
  <r>
    <d v="2023-01-18T00:00:00"/>
    <x v="2"/>
    <x v="3"/>
    <x v="0"/>
    <n v="43"/>
    <n v="7"/>
    <n v="966"/>
    <x v="4"/>
    <s v="Cash"/>
    <n v="5747.7"/>
    <x v="3"/>
  </r>
  <r>
    <d v="2023-05-12T00:00:00"/>
    <x v="2"/>
    <x v="3"/>
    <x v="0"/>
    <n v="44"/>
    <n v="9"/>
    <n v="507"/>
    <x v="3"/>
    <s v="EFT"/>
    <n v="4106.7"/>
    <x v="3"/>
  </r>
  <r>
    <d v="2023-03-30T00:00:00"/>
    <x v="3"/>
    <x v="4"/>
    <x v="1"/>
    <n v="22"/>
    <n v="3"/>
    <n v="1408"/>
    <x v="0"/>
    <s v="Card"/>
    <n v="4012.7999999999997"/>
    <x v="0"/>
  </r>
  <r>
    <d v="2023-03-01T00:00:00"/>
    <x v="1"/>
    <x v="2"/>
    <x v="1"/>
    <n v="37"/>
    <n v="8"/>
    <n v="396"/>
    <x v="4"/>
    <s v="Card"/>
    <n v="2692.7999999999997"/>
    <x v="3"/>
  </r>
  <r>
    <d v="2023-01-14T00:00:00"/>
    <x v="3"/>
    <x v="1"/>
    <x v="1"/>
    <n v="28"/>
    <n v="2"/>
    <n v="714"/>
    <x v="3"/>
    <s v="Cash"/>
    <n v="1285.2"/>
    <x v="1"/>
  </r>
  <r>
    <d v="2023-01-09T00:00:00"/>
    <x v="2"/>
    <x v="3"/>
    <x v="1"/>
    <n v="27"/>
    <n v="7"/>
    <n v="88"/>
    <x v="3"/>
    <s v="Card"/>
    <n v="554.4"/>
    <x v="1"/>
  </r>
  <r>
    <d v="2023-03-31T00:00:00"/>
    <x v="1"/>
    <x v="2"/>
    <x v="1"/>
    <n v="57"/>
    <n v="2"/>
    <n v="853"/>
    <x v="1"/>
    <s v="Cash"/>
    <n v="1364.8000000000002"/>
    <x v="2"/>
  </r>
  <r>
    <d v="2023-02-22T00:00:00"/>
    <x v="1"/>
    <x v="3"/>
    <x v="0"/>
    <n v="55"/>
    <n v="4"/>
    <n v="1176"/>
    <x v="1"/>
    <s v="EFT"/>
    <n v="3763.2000000000003"/>
    <x v="2"/>
  </r>
  <r>
    <d v="2023-05-10T00:00:00"/>
    <x v="3"/>
    <x v="3"/>
    <x v="1"/>
    <n v="23"/>
    <n v="7"/>
    <n v="1462"/>
    <x v="3"/>
    <s v="Cash"/>
    <n v="9210.6"/>
    <x v="0"/>
  </r>
  <r>
    <d v="2023-03-25T00:00:00"/>
    <x v="2"/>
    <x v="1"/>
    <x v="1"/>
    <n v="25"/>
    <n v="3"/>
    <n v="302"/>
    <x v="1"/>
    <s v="Cash"/>
    <n v="724.80000000000007"/>
    <x v="1"/>
  </r>
  <r>
    <d v="2023-04-02T00:00:00"/>
    <x v="1"/>
    <x v="0"/>
    <x v="1"/>
    <n v="40"/>
    <n v="2"/>
    <n v="632"/>
    <x v="4"/>
    <s v="EFT"/>
    <n v="1074.3999999999999"/>
    <x v="3"/>
  </r>
  <r>
    <d v="2023-04-21T00:00:00"/>
    <x v="3"/>
    <x v="4"/>
    <x v="0"/>
    <n v="43"/>
    <n v="7"/>
    <n v="1473"/>
    <x v="2"/>
    <s v="Card"/>
    <n v="10311"/>
    <x v="3"/>
  </r>
  <r>
    <d v="2023-06-21T00:00:00"/>
    <x v="2"/>
    <x v="4"/>
    <x v="1"/>
    <n v="29"/>
    <n v="1"/>
    <n v="795"/>
    <x v="4"/>
    <s v="Cash"/>
    <n v="675.75"/>
    <x v="1"/>
  </r>
  <r>
    <d v="2023-01-08T00:00:00"/>
    <x v="3"/>
    <x v="1"/>
    <x v="1"/>
    <n v="43"/>
    <n v="8"/>
    <n v="1367"/>
    <x v="3"/>
    <s v="Cash"/>
    <n v="9842.4"/>
    <x v="3"/>
  </r>
  <r>
    <d v="2023-06-24T00:00:00"/>
    <x v="0"/>
    <x v="3"/>
    <x v="0"/>
    <n v="30"/>
    <n v="3"/>
    <n v="1421"/>
    <x v="3"/>
    <s v="EFT"/>
    <n v="3836.7000000000003"/>
    <x v="1"/>
  </r>
  <r>
    <d v="2023-02-04T00:00:00"/>
    <x v="1"/>
    <x v="2"/>
    <x v="1"/>
    <n v="57"/>
    <n v="2"/>
    <n v="1187"/>
    <x v="4"/>
    <s v="Card"/>
    <n v="2017.8999999999999"/>
    <x v="2"/>
  </r>
  <r>
    <d v="2023-03-22T00:00:00"/>
    <x v="0"/>
    <x v="3"/>
    <x v="0"/>
    <n v="35"/>
    <n v="3"/>
    <n v="1421"/>
    <x v="1"/>
    <s v="Cash"/>
    <n v="3410.4"/>
    <x v="3"/>
  </r>
  <r>
    <d v="2023-06-13T00:00:00"/>
    <x v="2"/>
    <x v="1"/>
    <x v="0"/>
    <n v="42"/>
    <n v="5"/>
    <n v="190"/>
    <x v="1"/>
    <s v="EFT"/>
    <n v="760"/>
    <x v="3"/>
  </r>
  <r>
    <d v="2023-02-19T00:00:00"/>
    <x v="0"/>
    <x v="4"/>
    <x v="0"/>
    <n v="50"/>
    <n v="8"/>
    <n v="330"/>
    <x v="3"/>
    <s v="Cash"/>
    <n v="2376"/>
    <x v="2"/>
  </r>
  <r>
    <d v="2023-04-14T00:00:00"/>
    <x v="0"/>
    <x v="3"/>
    <x v="0"/>
    <n v="57"/>
    <n v="7"/>
    <n v="462"/>
    <x v="0"/>
    <s v="EFT"/>
    <n v="3072.2999999999997"/>
    <x v="2"/>
  </r>
  <r>
    <d v="2023-05-12T00:00:00"/>
    <x v="2"/>
    <x v="4"/>
    <x v="0"/>
    <n v="29"/>
    <n v="7"/>
    <n v="86"/>
    <x v="1"/>
    <s v="Card"/>
    <n v="481.6"/>
    <x v="1"/>
  </r>
  <r>
    <d v="2023-01-02T00:00:00"/>
    <x v="3"/>
    <x v="2"/>
    <x v="1"/>
    <n v="53"/>
    <n v="7"/>
    <n v="538"/>
    <x v="4"/>
    <s v="Card"/>
    <n v="3201.1"/>
    <x v="2"/>
  </r>
  <r>
    <d v="2023-05-14T00:00:00"/>
    <x v="0"/>
    <x v="4"/>
    <x v="0"/>
    <n v="21"/>
    <n v="8"/>
    <n v="1187"/>
    <x v="1"/>
    <s v="Card"/>
    <n v="7596.8"/>
    <x v="0"/>
  </r>
  <r>
    <d v="2023-02-23T00:00:00"/>
    <x v="3"/>
    <x v="4"/>
    <x v="0"/>
    <n v="22"/>
    <n v="1"/>
    <n v="287"/>
    <x v="4"/>
    <s v="Card"/>
    <n v="243.95"/>
    <x v="0"/>
  </r>
  <r>
    <d v="2023-04-16T00:00:00"/>
    <x v="0"/>
    <x v="0"/>
    <x v="1"/>
    <n v="54"/>
    <n v="4"/>
    <n v="979"/>
    <x v="3"/>
    <s v="Cash"/>
    <n v="3524.4"/>
    <x v="2"/>
  </r>
  <r>
    <d v="2023-01-04T00:00:00"/>
    <x v="3"/>
    <x v="0"/>
    <x v="0"/>
    <n v="25"/>
    <n v="6"/>
    <n v="1493"/>
    <x v="1"/>
    <s v="Cash"/>
    <n v="7166.4000000000005"/>
    <x v="1"/>
  </r>
  <r>
    <d v="2023-02-23T00:00:00"/>
    <x v="2"/>
    <x v="0"/>
    <x v="1"/>
    <n v="59"/>
    <n v="9"/>
    <n v="1417"/>
    <x v="4"/>
    <s v="Card"/>
    <n v="10840.05"/>
    <x v="2"/>
  </r>
  <r>
    <d v="2023-05-26T00:00:00"/>
    <x v="0"/>
    <x v="4"/>
    <x v="1"/>
    <n v="45"/>
    <n v="2"/>
    <n v="101"/>
    <x v="3"/>
    <s v="Card"/>
    <n v="181.8"/>
    <x v="3"/>
  </r>
  <r>
    <d v="2023-02-13T00:00:00"/>
    <x v="2"/>
    <x v="1"/>
    <x v="1"/>
    <n v="48"/>
    <n v="1"/>
    <n v="489"/>
    <x v="0"/>
    <s v="Card"/>
    <n v="464.54999999999995"/>
    <x v="3"/>
  </r>
  <r>
    <d v="2023-06-11T00:00:00"/>
    <x v="0"/>
    <x v="4"/>
    <x v="0"/>
    <n v="26"/>
    <n v="2"/>
    <n v="974"/>
    <x v="4"/>
    <s v="Cash"/>
    <n v="1655.8"/>
    <x v="1"/>
  </r>
  <r>
    <d v="2023-01-14T00:00:00"/>
    <x v="2"/>
    <x v="1"/>
    <x v="0"/>
    <n v="46"/>
    <n v="7"/>
    <n v="594"/>
    <x v="0"/>
    <s v="Card"/>
    <n v="3950.1"/>
    <x v="3"/>
  </r>
  <r>
    <d v="2023-04-05T00:00:00"/>
    <x v="2"/>
    <x v="1"/>
    <x v="0"/>
    <n v="31"/>
    <n v="3"/>
    <n v="1230"/>
    <x v="0"/>
    <s v="Card"/>
    <n v="3505.5"/>
    <x v="1"/>
  </r>
  <r>
    <d v="2023-02-17T00:00:00"/>
    <x v="0"/>
    <x v="0"/>
    <x v="1"/>
    <n v="57"/>
    <n v="2"/>
    <n v="888"/>
    <x v="2"/>
    <s v="Card"/>
    <n v="1776"/>
    <x v="2"/>
  </r>
  <r>
    <d v="2023-01-15T00:00:00"/>
    <x v="0"/>
    <x v="3"/>
    <x v="0"/>
    <n v="58"/>
    <n v="7"/>
    <n v="953"/>
    <x v="1"/>
    <s v="EFT"/>
    <n v="5336.8"/>
    <x v="2"/>
  </r>
  <r>
    <d v="2023-02-09T00:00:00"/>
    <x v="0"/>
    <x v="2"/>
    <x v="0"/>
    <n v="39"/>
    <n v="2"/>
    <n v="93"/>
    <x v="4"/>
    <s v="Card"/>
    <n v="158.1"/>
    <x v="3"/>
  </r>
  <r>
    <d v="2023-03-23T00:00:00"/>
    <x v="1"/>
    <x v="0"/>
    <x v="0"/>
    <n v="28"/>
    <n v="3"/>
    <n v="1050"/>
    <x v="0"/>
    <s v="EFT"/>
    <n v="2992.5"/>
    <x v="1"/>
  </r>
  <r>
    <d v="2023-04-21T00:00:00"/>
    <x v="3"/>
    <x v="0"/>
    <x v="1"/>
    <n v="40"/>
    <n v="7"/>
    <n v="1057"/>
    <x v="2"/>
    <s v="EFT"/>
    <n v="7399"/>
    <x v="3"/>
  </r>
  <r>
    <d v="2023-02-22T00:00:00"/>
    <x v="1"/>
    <x v="3"/>
    <x v="1"/>
    <n v="18"/>
    <n v="4"/>
    <n v="1093"/>
    <x v="3"/>
    <s v="Card"/>
    <n v="3934.8"/>
    <x v="0"/>
  </r>
  <r>
    <d v="2023-01-24T00:00:00"/>
    <x v="1"/>
    <x v="2"/>
    <x v="0"/>
    <n v="54"/>
    <n v="1"/>
    <n v="1115"/>
    <x v="4"/>
    <s v="EFT"/>
    <n v="947.75"/>
    <x v="2"/>
  </r>
  <r>
    <d v="2023-06-03T00:00:00"/>
    <x v="2"/>
    <x v="4"/>
    <x v="0"/>
    <n v="38"/>
    <n v="5"/>
    <n v="166"/>
    <x v="0"/>
    <s v="Card"/>
    <n v="788.5"/>
    <x v="3"/>
  </r>
  <r>
    <d v="2023-05-04T00:00:00"/>
    <x v="0"/>
    <x v="4"/>
    <x v="0"/>
    <n v="43"/>
    <n v="9"/>
    <n v="988"/>
    <x v="1"/>
    <s v="Cash"/>
    <n v="7113.6"/>
    <x v="3"/>
  </r>
  <r>
    <d v="2023-02-10T00:00:00"/>
    <x v="3"/>
    <x v="0"/>
    <x v="0"/>
    <n v="53"/>
    <n v="8"/>
    <n v="1404"/>
    <x v="2"/>
    <s v="Cash"/>
    <n v="11232"/>
    <x v="2"/>
  </r>
  <r>
    <d v="2023-06-06T00:00:00"/>
    <x v="2"/>
    <x v="2"/>
    <x v="1"/>
    <n v="40"/>
    <n v="9"/>
    <n v="1346"/>
    <x v="0"/>
    <s v="Cash"/>
    <n v="11508.3"/>
    <x v="3"/>
  </r>
  <r>
    <d v="2023-01-15T00:00:00"/>
    <x v="1"/>
    <x v="0"/>
    <x v="1"/>
    <n v="18"/>
    <n v="9"/>
    <n v="201"/>
    <x v="1"/>
    <s v="Cash"/>
    <n v="1447.2"/>
    <x v="0"/>
  </r>
  <r>
    <d v="2023-02-14T00:00:00"/>
    <x v="0"/>
    <x v="1"/>
    <x v="1"/>
    <n v="57"/>
    <n v="7"/>
    <n v="1250"/>
    <x v="0"/>
    <s v="EFT"/>
    <n v="8312.5"/>
    <x v="2"/>
  </r>
  <r>
    <d v="2023-03-06T00:00:00"/>
    <x v="2"/>
    <x v="0"/>
    <x v="1"/>
    <n v="32"/>
    <n v="4"/>
    <n v="829"/>
    <x v="4"/>
    <s v="Card"/>
    <n v="2818.6"/>
    <x v="1"/>
  </r>
  <r>
    <d v="2023-03-30T00:00:00"/>
    <x v="0"/>
    <x v="0"/>
    <x v="0"/>
    <n v="38"/>
    <n v="5"/>
    <n v="1459"/>
    <x v="4"/>
    <s v="Card"/>
    <n v="6200.75"/>
    <x v="3"/>
  </r>
  <r>
    <d v="2023-03-12T00:00:00"/>
    <x v="2"/>
    <x v="4"/>
    <x v="0"/>
    <n v="26"/>
    <n v="1"/>
    <n v="764"/>
    <x v="4"/>
    <s v="Card"/>
    <n v="649.4"/>
    <x v="1"/>
  </r>
  <r>
    <d v="2023-01-09T00:00:00"/>
    <x v="0"/>
    <x v="4"/>
    <x v="0"/>
    <n v="26"/>
    <n v="1"/>
    <n v="388"/>
    <x v="2"/>
    <s v="Cash"/>
    <n v="388"/>
    <x v="1"/>
  </r>
  <r>
    <d v="2023-03-29T00:00:00"/>
    <x v="1"/>
    <x v="4"/>
    <x v="1"/>
    <n v="27"/>
    <n v="3"/>
    <n v="774"/>
    <x v="4"/>
    <s v="Cash"/>
    <n v="1973.7"/>
    <x v="1"/>
  </r>
  <r>
    <d v="2023-05-09T00:00:00"/>
    <x v="3"/>
    <x v="1"/>
    <x v="0"/>
    <n v="43"/>
    <n v="8"/>
    <n v="367"/>
    <x v="1"/>
    <s v="Card"/>
    <n v="2348.8000000000002"/>
    <x v="3"/>
  </r>
  <r>
    <d v="2023-05-16T00:00:00"/>
    <x v="1"/>
    <x v="4"/>
    <x v="1"/>
    <n v="58"/>
    <n v="2"/>
    <n v="386"/>
    <x v="0"/>
    <s v="Cash"/>
    <n v="733.4"/>
    <x v="2"/>
  </r>
  <r>
    <d v="2023-03-04T00:00:00"/>
    <x v="3"/>
    <x v="2"/>
    <x v="1"/>
    <n v="52"/>
    <n v="4"/>
    <n v="993"/>
    <x v="3"/>
    <s v="Card"/>
    <n v="3574.8"/>
    <x v="2"/>
  </r>
  <r>
    <d v="2023-05-19T00:00:00"/>
    <x v="0"/>
    <x v="3"/>
    <x v="0"/>
    <n v="42"/>
    <n v="2"/>
    <n v="741"/>
    <x v="1"/>
    <s v="Card"/>
    <n v="1185.6000000000001"/>
    <x v="3"/>
  </r>
  <r>
    <d v="2023-03-22T00:00:00"/>
    <x v="2"/>
    <x v="2"/>
    <x v="0"/>
    <n v="43"/>
    <n v="5"/>
    <n v="628"/>
    <x v="1"/>
    <s v="Card"/>
    <n v="2512"/>
    <x v="3"/>
  </r>
  <r>
    <d v="2023-05-16T00:00:00"/>
    <x v="1"/>
    <x v="2"/>
    <x v="0"/>
    <n v="28"/>
    <n v="9"/>
    <n v="1455"/>
    <x v="4"/>
    <s v="Card"/>
    <n v="11130.75"/>
    <x v="1"/>
  </r>
  <r>
    <d v="2023-06-12T00:00:00"/>
    <x v="3"/>
    <x v="4"/>
    <x v="1"/>
    <n v="55"/>
    <n v="1"/>
    <n v="391"/>
    <x v="2"/>
    <s v="Card"/>
    <n v="391"/>
    <x v="2"/>
  </r>
  <r>
    <d v="2023-06-12T00:00:00"/>
    <x v="1"/>
    <x v="3"/>
    <x v="0"/>
    <n v="19"/>
    <n v="5"/>
    <n v="952"/>
    <x v="0"/>
    <s v="Card"/>
    <n v="4522"/>
    <x v="0"/>
  </r>
  <r>
    <d v="2023-02-02T00:00:00"/>
    <x v="3"/>
    <x v="3"/>
    <x v="1"/>
    <n v="24"/>
    <n v="9"/>
    <n v="1162"/>
    <x v="2"/>
    <s v="Card"/>
    <n v="10458"/>
    <x v="0"/>
  </r>
  <r>
    <d v="2023-05-03T00:00:00"/>
    <x v="1"/>
    <x v="3"/>
    <x v="0"/>
    <n v="35"/>
    <n v="1"/>
    <n v="1003"/>
    <x v="0"/>
    <s v="Cash"/>
    <n v="952.84999999999991"/>
    <x v="3"/>
  </r>
  <r>
    <d v="2023-01-05T00:00:00"/>
    <x v="3"/>
    <x v="1"/>
    <x v="1"/>
    <n v="44"/>
    <n v="9"/>
    <n v="834"/>
    <x v="0"/>
    <s v="Card"/>
    <n v="7130.7"/>
    <x v="3"/>
  </r>
  <r>
    <d v="2023-02-10T00:00:00"/>
    <x v="3"/>
    <x v="4"/>
    <x v="1"/>
    <n v="51"/>
    <n v="8"/>
    <n v="114"/>
    <x v="2"/>
    <s v="Card"/>
    <n v="912"/>
    <x v="2"/>
  </r>
  <r>
    <d v="2023-01-28T00:00:00"/>
    <x v="0"/>
    <x v="3"/>
    <x v="0"/>
    <n v="44"/>
    <n v="4"/>
    <n v="524"/>
    <x v="1"/>
    <s v="Cash"/>
    <n v="1676.8000000000002"/>
    <x v="3"/>
  </r>
  <r>
    <d v="2023-05-15T00:00:00"/>
    <x v="3"/>
    <x v="1"/>
    <x v="1"/>
    <n v="34"/>
    <n v="5"/>
    <n v="172"/>
    <x v="0"/>
    <s v="Cash"/>
    <n v="817"/>
    <x v="1"/>
  </r>
  <r>
    <d v="2023-03-13T00:00:00"/>
    <x v="0"/>
    <x v="0"/>
    <x v="1"/>
    <n v="41"/>
    <n v="5"/>
    <n v="1310"/>
    <x v="2"/>
    <s v="Cash"/>
    <n v="6550"/>
    <x v="3"/>
  </r>
  <r>
    <d v="2023-01-12T00:00:00"/>
    <x v="3"/>
    <x v="0"/>
    <x v="0"/>
    <n v="42"/>
    <n v="6"/>
    <n v="432"/>
    <x v="0"/>
    <s v="Card"/>
    <n v="2462.4"/>
    <x v="3"/>
  </r>
  <r>
    <d v="2023-06-11T00:00:00"/>
    <x v="2"/>
    <x v="1"/>
    <x v="1"/>
    <n v="24"/>
    <n v="7"/>
    <n v="982"/>
    <x v="3"/>
    <s v="EFT"/>
    <n v="6186.6"/>
    <x v="0"/>
  </r>
  <r>
    <d v="2023-02-02T00:00:00"/>
    <x v="2"/>
    <x v="1"/>
    <x v="0"/>
    <n v="23"/>
    <n v="8"/>
    <n v="1435"/>
    <x v="1"/>
    <s v="EFT"/>
    <n v="9184"/>
    <x v="0"/>
  </r>
  <r>
    <d v="2023-02-17T00:00:00"/>
    <x v="2"/>
    <x v="4"/>
    <x v="1"/>
    <n v="41"/>
    <n v="8"/>
    <n v="941"/>
    <x v="4"/>
    <s v="Cash"/>
    <n v="6398.8"/>
    <x v="3"/>
  </r>
  <r>
    <d v="2023-05-31T00:00:00"/>
    <x v="3"/>
    <x v="4"/>
    <x v="0"/>
    <n v="50"/>
    <n v="2"/>
    <n v="238"/>
    <x v="0"/>
    <s v="EFT"/>
    <n v="452.2"/>
    <x v="2"/>
  </r>
  <r>
    <d v="2023-03-03T00:00:00"/>
    <x v="0"/>
    <x v="0"/>
    <x v="0"/>
    <n v="46"/>
    <n v="9"/>
    <n v="1036"/>
    <x v="3"/>
    <s v="Cash"/>
    <n v="8391.6"/>
    <x v="3"/>
  </r>
  <r>
    <d v="2023-02-06T00:00:00"/>
    <x v="0"/>
    <x v="3"/>
    <x v="1"/>
    <n v="39"/>
    <n v="7"/>
    <n v="103"/>
    <x v="4"/>
    <s v="Card"/>
    <n v="612.85"/>
    <x v="3"/>
  </r>
  <r>
    <d v="2023-04-09T00:00:00"/>
    <x v="3"/>
    <x v="0"/>
    <x v="1"/>
    <n v="43"/>
    <n v="4"/>
    <n v="483"/>
    <x v="4"/>
    <s v="EFT"/>
    <n v="1642.2"/>
    <x v="3"/>
  </r>
  <r>
    <d v="2023-06-21T00:00:00"/>
    <x v="2"/>
    <x v="3"/>
    <x v="1"/>
    <n v="45"/>
    <n v="4"/>
    <n v="884"/>
    <x v="0"/>
    <s v="Card"/>
    <n v="3359.2"/>
    <x v="3"/>
  </r>
  <r>
    <d v="2023-04-14T00:00:00"/>
    <x v="2"/>
    <x v="3"/>
    <x v="1"/>
    <n v="38"/>
    <n v="8"/>
    <n v="595"/>
    <x v="2"/>
    <s v="EFT"/>
    <n v="4760"/>
    <x v="3"/>
  </r>
  <r>
    <d v="2023-02-04T00:00:00"/>
    <x v="0"/>
    <x v="4"/>
    <x v="1"/>
    <n v="24"/>
    <n v="4"/>
    <n v="811"/>
    <x v="0"/>
    <s v="Card"/>
    <n v="3081.7999999999997"/>
    <x v="0"/>
  </r>
  <r>
    <d v="2023-04-11T00:00:00"/>
    <x v="2"/>
    <x v="2"/>
    <x v="0"/>
    <n v="34"/>
    <n v="6"/>
    <n v="1467"/>
    <x v="3"/>
    <s v="EFT"/>
    <n v="7921.8"/>
    <x v="1"/>
  </r>
  <r>
    <d v="2023-06-24T00:00:00"/>
    <x v="1"/>
    <x v="2"/>
    <x v="1"/>
    <n v="37"/>
    <n v="5"/>
    <n v="1485"/>
    <x v="4"/>
    <s v="Card"/>
    <n v="6311.25"/>
    <x v="3"/>
  </r>
  <r>
    <d v="2023-05-11T00:00:00"/>
    <x v="0"/>
    <x v="1"/>
    <x v="0"/>
    <n v="58"/>
    <n v="3"/>
    <n v="611"/>
    <x v="0"/>
    <s v="Card"/>
    <n v="1741.35"/>
    <x v="2"/>
  </r>
  <r>
    <d v="2023-01-01T00:00:00"/>
    <x v="2"/>
    <x v="4"/>
    <x v="0"/>
    <n v="37"/>
    <n v="2"/>
    <n v="1035"/>
    <x v="2"/>
    <s v="EFT"/>
    <n v="2070"/>
    <x v="3"/>
  </r>
  <r>
    <d v="2023-01-05T00:00:00"/>
    <x v="0"/>
    <x v="3"/>
    <x v="1"/>
    <n v="39"/>
    <n v="9"/>
    <n v="231"/>
    <x v="0"/>
    <s v="Card"/>
    <n v="1975.05"/>
    <x v="3"/>
  </r>
  <r>
    <d v="2023-05-22T00:00:00"/>
    <x v="1"/>
    <x v="2"/>
    <x v="0"/>
    <n v="45"/>
    <n v="9"/>
    <n v="1026"/>
    <x v="1"/>
    <s v="Card"/>
    <n v="7387.2000000000007"/>
    <x v="3"/>
  </r>
  <r>
    <d v="2023-04-13T00:00:00"/>
    <x v="0"/>
    <x v="3"/>
    <x v="0"/>
    <n v="57"/>
    <n v="1"/>
    <n v="687"/>
    <x v="2"/>
    <s v="Card"/>
    <n v="687"/>
    <x v="2"/>
  </r>
  <r>
    <d v="2023-01-27T00:00:00"/>
    <x v="0"/>
    <x v="2"/>
    <x v="0"/>
    <n v="24"/>
    <n v="3"/>
    <n v="499"/>
    <x v="3"/>
    <s v="EFT"/>
    <n v="1347.3"/>
    <x v="0"/>
  </r>
  <r>
    <d v="2023-05-17T00:00:00"/>
    <x v="0"/>
    <x v="2"/>
    <x v="0"/>
    <n v="18"/>
    <n v="8"/>
    <n v="1353"/>
    <x v="4"/>
    <s v="EFT"/>
    <n v="9200.4"/>
    <x v="0"/>
  </r>
  <r>
    <d v="2023-01-15T00:00:00"/>
    <x v="0"/>
    <x v="2"/>
    <x v="1"/>
    <n v="49"/>
    <n v="6"/>
    <n v="1220"/>
    <x v="0"/>
    <s v="Card"/>
    <n v="6954"/>
    <x v="3"/>
  </r>
  <r>
    <d v="2023-03-31T00:00:00"/>
    <x v="1"/>
    <x v="4"/>
    <x v="0"/>
    <n v="30"/>
    <n v="5"/>
    <n v="945"/>
    <x v="2"/>
    <s v="Card"/>
    <n v="4725"/>
    <x v="1"/>
  </r>
  <r>
    <d v="2023-02-11T00:00:00"/>
    <x v="3"/>
    <x v="0"/>
    <x v="1"/>
    <n v="47"/>
    <n v="5"/>
    <n v="657"/>
    <x v="1"/>
    <s v="EFT"/>
    <n v="2628"/>
    <x v="3"/>
  </r>
  <r>
    <d v="2023-05-04T00:00:00"/>
    <x v="0"/>
    <x v="3"/>
    <x v="1"/>
    <n v="40"/>
    <n v="6"/>
    <n v="414"/>
    <x v="2"/>
    <s v="EFT"/>
    <n v="2484"/>
    <x v="3"/>
  </r>
  <r>
    <d v="2023-06-28T00:00:00"/>
    <x v="0"/>
    <x v="4"/>
    <x v="0"/>
    <n v="36"/>
    <n v="7"/>
    <n v="1011"/>
    <x v="1"/>
    <s v="Card"/>
    <n v="5661.6"/>
    <x v="3"/>
  </r>
  <r>
    <d v="2023-03-04T00:00:00"/>
    <x v="2"/>
    <x v="4"/>
    <x v="1"/>
    <n v="49"/>
    <n v="1"/>
    <n v="374"/>
    <x v="3"/>
    <s v="Card"/>
    <n v="336.6"/>
    <x v="3"/>
  </r>
  <r>
    <d v="2023-04-06T00:00:00"/>
    <x v="0"/>
    <x v="4"/>
    <x v="1"/>
    <n v="47"/>
    <n v="9"/>
    <n v="834"/>
    <x v="4"/>
    <s v="Card"/>
    <n v="6380.0999999999995"/>
    <x v="3"/>
  </r>
  <r>
    <d v="2023-02-21T00:00:00"/>
    <x v="2"/>
    <x v="4"/>
    <x v="1"/>
    <n v="46"/>
    <n v="3"/>
    <n v="1474"/>
    <x v="3"/>
    <s v="Cash"/>
    <n v="3979.8"/>
    <x v="3"/>
  </r>
  <r>
    <d v="2023-04-06T00:00:00"/>
    <x v="3"/>
    <x v="4"/>
    <x v="0"/>
    <n v="46"/>
    <n v="4"/>
    <n v="265"/>
    <x v="0"/>
    <s v="EFT"/>
    <n v="1007"/>
    <x v="3"/>
  </r>
  <r>
    <d v="2023-05-12T00:00:00"/>
    <x v="1"/>
    <x v="1"/>
    <x v="1"/>
    <n v="47"/>
    <n v="1"/>
    <n v="1349"/>
    <x v="2"/>
    <s v="Cash"/>
    <n v="1349"/>
    <x v="3"/>
  </r>
  <r>
    <d v="2023-05-31T00:00:00"/>
    <x v="1"/>
    <x v="3"/>
    <x v="1"/>
    <n v="33"/>
    <n v="3"/>
    <n v="716"/>
    <x v="1"/>
    <s v="EFT"/>
    <n v="1718.4"/>
    <x v="1"/>
  </r>
  <r>
    <d v="2023-05-23T00:00:00"/>
    <x v="3"/>
    <x v="4"/>
    <x v="1"/>
    <n v="57"/>
    <n v="2"/>
    <n v="1371"/>
    <x v="1"/>
    <s v="EFT"/>
    <n v="2193.6"/>
    <x v="2"/>
  </r>
  <r>
    <d v="2023-06-20T00:00:00"/>
    <x v="1"/>
    <x v="3"/>
    <x v="0"/>
    <n v="36"/>
    <n v="2"/>
    <n v="1340"/>
    <x v="2"/>
    <s v="EFT"/>
    <n v="2680"/>
    <x v="3"/>
  </r>
  <r>
    <d v="2023-01-29T00:00:00"/>
    <x v="3"/>
    <x v="1"/>
    <x v="1"/>
    <n v="35"/>
    <n v="1"/>
    <n v="609"/>
    <x v="2"/>
    <s v="EFT"/>
    <n v="609"/>
    <x v="3"/>
  </r>
  <r>
    <d v="2023-02-05T00:00:00"/>
    <x v="3"/>
    <x v="1"/>
    <x v="0"/>
    <n v="18"/>
    <n v="8"/>
    <n v="100"/>
    <x v="0"/>
    <s v="EFT"/>
    <n v="760"/>
    <x v="0"/>
  </r>
  <r>
    <d v="2023-01-13T00:00:00"/>
    <x v="3"/>
    <x v="3"/>
    <x v="0"/>
    <n v="31"/>
    <n v="3"/>
    <n v="990"/>
    <x v="3"/>
    <s v="EFT"/>
    <n v="2673"/>
    <x v="1"/>
  </r>
  <r>
    <d v="2023-06-09T00:00:00"/>
    <x v="1"/>
    <x v="2"/>
    <x v="0"/>
    <n v="19"/>
    <n v="3"/>
    <n v="946"/>
    <x v="1"/>
    <s v="EFT"/>
    <n v="2270.4"/>
    <x v="0"/>
  </r>
  <r>
    <d v="2023-03-12T00:00:00"/>
    <x v="2"/>
    <x v="0"/>
    <x v="0"/>
    <n v="45"/>
    <n v="6"/>
    <n v="873"/>
    <x v="0"/>
    <s v="Cash"/>
    <n v="4976.0999999999995"/>
    <x v="3"/>
  </r>
  <r>
    <d v="2023-03-27T00:00:00"/>
    <x v="3"/>
    <x v="2"/>
    <x v="0"/>
    <n v="47"/>
    <n v="8"/>
    <n v="179"/>
    <x v="3"/>
    <s v="Card"/>
    <n v="1288.8"/>
    <x v="3"/>
  </r>
  <r>
    <d v="2023-01-28T00:00:00"/>
    <x v="0"/>
    <x v="2"/>
    <x v="0"/>
    <n v="55"/>
    <n v="9"/>
    <n v="831"/>
    <x v="0"/>
    <s v="Card"/>
    <n v="7105.0499999999993"/>
    <x v="2"/>
  </r>
  <r>
    <d v="2023-03-07T00:00:00"/>
    <x v="1"/>
    <x v="2"/>
    <x v="1"/>
    <n v="21"/>
    <n v="9"/>
    <n v="557"/>
    <x v="1"/>
    <s v="Cash"/>
    <n v="4010.4"/>
    <x v="0"/>
  </r>
  <r>
    <d v="2023-06-19T00:00:00"/>
    <x v="3"/>
    <x v="4"/>
    <x v="0"/>
    <n v="18"/>
    <n v="4"/>
    <n v="1401"/>
    <x v="2"/>
    <s v="Cash"/>
    <n v="5604"/>
    <x v="0"/>
  </r>
  <r>
    <d v="2023-02-14T00:00:00"/>
    <x v="3"/>
    <x v="1"/>
    <x v="1"/>
    <n v="25"/>
    <n v="5"/>
    <n v="1019"/>
    <x v="2"/>
    <s v="Cash"/>
    <n v="5095"/>
    <x v="1"/>
  </r>
  <r>
    <d v="2023-03-03T00:00:00"/>
    <x v="0"/>
    <x v="2"/>
    <x v="1"/>
    <n v="46"/>
    <n v="2"/>
    <n v="605"/>
    <x v="3"/>
    <s v="Cash"/>
    <n v="1089"/>
    <x v="3"/>
  </r>
  <r>
    <d v="2023-05-14T00:00:00"/>
    <x v="2"/>
    <x v="1"/>
    <x v="0"/>
    <n v="56"/>
    <n v="9"/>
    <n v="413"/>
    <x v="4"/>
    <s v="EFT"/>
    <n v="3159.45"/>
    <x v="2"/>
  </r>
  <r>
    <d v="2023-01-28T00:00:00"/>
    <x v="2"/>
    <x v="3"/>
    <x v="1"/>
    <n v="20"/>
    <n v="8"/>
    <n v="81"/>
    <x v="3"/>
    <s v="Card"/>
    <n v="583.20000000000005"/>
    <x v="0"/>
  </r>
  <r>
    <d v="2023-01-28T00:00:00"/>
    <x v="2"/>
    <x v="0"/>
    <x v="1"/>
    <n v="49"/>
    <n v="3"/>
    <n v="454"/>
    <x v="4"/>
    <s v="EFT"/>
    <n v="1157.7"/>
    <x v="3"/>
  </r>
  <r>
    <d v="2023-04-18T00:00:00"/>
    <x v="3"/>
    <x v="3"/>
    <x v="1"/>
    <n v="27"/>
    <n v="9"/>
    <n v="372"/>
    <x v="0"/>
    <s v="Card"/>
    <n v="3180.6"/>
    <x v="1"/>
  </r>
  <r>
    <d v="2023-02-13T00:00:00"/>
    <x v="3"/>
    <x v="3"/>
    <x v="1"/>
    <n v="27"/>
    <n v="3"/>
    <n v="916"/>
    <x v="0"/>
    <s v="Card"/>
    <n v="2610.6"/>
    <x v="1"/>
  </r>
  <r>
    <d v="2023-03-25T00:00:00"/>
    <x v="3"/>
    <x v="4"/>
    <x v="0"/>
    <n v="36"/>
    <n v="9"/>
    <n v="1084"/>
    <x v="1"/>
    <s v="Cash"/>
    <n v="7804.8"/>
    <x v="3"/>
  </r>
  <r>
    <d v="2023-01-30T00:00:00"/>
    <x v="1"/>
    <x v="0"/>
    <x v="1"/>
    <n v="51"/>
    <n v="2"/>
    <n v="632"/>
    <x v="4"/>
    <s v="EFT"/>
    <n v="1074.3999999999999"/>
    <x v="2"/>
  </r>
  <r>
    <d v="2023-03-16T00:00:00"/>
    <x v="0"/>
    <x v="3"/>
    <x v="0"/>
    <n v="50"/>
    <n v="9"/>
    <n v="397"/>
    <x v="1"/>
    <s v="Cash"/>
    <n v="2858.4"/>
    <x v="2"/>
  </r>
  <r>
    <d v="2023-05-08T00:00:00"/>
    <x v="3"/>
    <x v="3"/>
    <x v="1"/>
    <n v="40"/>
    <n v="8"/>
    <n v="460"/>
    <x v="2"/>
    <s v="EFT"/>
    <n v="3680"/>
    <x v="3"/>
  </r>
  <r>
    <d v="2023-04-02T00:00:00"/>
    <x v="0"/>
    <x v="0"/>
    <x v="1"/>
    <n v="45"/>
    <n v="9"/>
    <n v="93"/>
    <x v="4"/>
    <s v="Card"/>
    <n v="711.44999999999993"/>
    <x v="3"/>
  </r>
  <r>
    <d v="2023-05-09T00:00:00"/>
    <x v="0"/>
    <x v="0"/>
    <x v="0"/>
    <n v="49"/>
    <n v="5"/>
    <n v="583"/>
    <x v="3"/>
    <s v="Cash"/>
    <n v="2623.5"/>
    <x v="3"/>
  </r>
  <r>
    <d v="2023-05-01T00:00:00"/>
    <x v="2"/>
    <x v="3"/>
    <x v="1"/>
    <n v="24"/>
    <n v="2"/>
    <n v="310"/>
    <x v="2"/>
    <s v="Cash"/>
    <n v="620"/>
    <x v="0"/>
  </r>
  <r>
    <d v="2023-01-27T00:00:00"/>
    <x v="1"/>
    <x v="0"/>
    <x v="1"/>
    <n v="46"/>
    <n v="8"/>
    <n v="1187"/>
    <x v="2"/>
    <s v="Card"/>
    <n v="9496"/>
    <x v="3"/>
  </r>
  <r>
    <d v="2023-05-01T00:00:00"/>
    <x v="3"/>
    <x v="3"/>
    <x v="1"/>
    <n v="25"/>
    <n v="6"/>
    <n v="209"/>
    <x v="3"/>
    <s v="Card"/>
    <n v="1128.6000000000001"/>
    <x v="1"/>
  </r>
  <r>
    <d v="2023-04-26T00:00:00"/>
    <x v="2"/>
    <x v="3"/>
    <x v="0"/>
    <n v="18"/>
    <n v="8"/>
    <n v="917"/>
    <x v="2"/>
    <s v="Card"/>
    <n v="7336"/>
    <x v="0"/>
  </r>
  <r>
    <d v="2023-01-03T00:00:00"/>
    <x v="2"/>
    <x v="4"/>
    <x v="1"/>
    <n v="20"/>
    <n v="5"/>
    <n v="1248"/>
    <x v="4"/>
    <s v="Cash"/>
    <n v="5304"/>
    <x v="0"/>
  </r>
  <r>
    <d v="2023-04-13T00:00:00"/>
    <x v="3"/>
    <x v="2"/>
    <x v="0"/>
    <n v="41"/>
    <n v="2"/>
    <n v="970"/>
    <x v="1"/>
    <s v="EFT"/>
    <n v="1552"/>
    <x v="3"/>
  </r>
  <r>
    <d v="2023-06-04T00:00:00"/>
    <x v="0"/>
    <x v="3"/>
    <x v="1"/>
    <n v="40"/>
    <n v="6"/>
    <n v="107"/>
    <x v="2"/>
    <s v="Cash"/>
    <n v="642"/>
    <x v="3"/>
  </r>
  <r>
    <d v="2023-05-17T00:00:00"/>
    <x v="2"/>
    <x v="1"/>
    <x v="0"/>
    <n v="25"/>
    <n v="5"/>
    <n v="145"/>
    <x v="4"/>
    <s v="EFT"/>
    <n v="616.25"/>
    <x v="1"/>
  </r>
  <r>
    <d v="2023-03-03T00:00:00"/>
    <x v="0"/>
    <x v="2"/>
    <x v="0"/>
    <n v="54"/>
    <n v="5"/>
    <n v="1266"/>
    <x v="0"/>
    <s v="Cash"/>
    <n v="6013.5"/>
    <x v="2"/>
  </r>
  <r>
    <d v="2023-06-14T00:00:00"/>
    <x v="1"/>
    <x v="2"/>
    <x v="1"/>
    <n v="20"/>
    <n v="1"/>
    <n v="1332"/>
    <x v="4"/>
    <s v="Cash"/>
    <n v="1132.2"/>
    <x v="0"/>
  </r>
  <r>
    <d v="2023-02-20T00:00:00"/>
    <x v="0"/>
    <x v="2"/>
    <x v="1"/>
    <n v="50"/>
    <n v="2"/>
    <n v="340"/>
    <x v="1"/>
    <s v="Card"/>
    <n v="544"/>
    <x v="2"/>
  </r>
  <r>
    <d v="2023-06-21T00:00:00"/>
    <x v="1"/>
    <x v="4"/>
    <x v="0"/>
    <n v="45"/>
    <n v="8"/>
    <n v="539"/>
    <x v="4"/>
    <s v="EFT"/>
    <n v="3665.2"/>
    <x v="3"/>
  </r>
  <r>
    <d v="2023-06-01T00:00:00"/>
    <x v="0"/>
    <x v="3"/>
    <x v="0"/>
    <n v="25"/>
    <n v="3"/>
    <n v="380"/>
    <x v="3"/>
    <s v="Cash"/>
    <n v="1026"/>
    <x v="1"/>
  </r>
  <r>
    <d v="2023-02-28T00:00:00"/>
    <x v="2"/>
    <x v="4"/>
    <x v="1"/>
    <n v="51"/>
    <n v="3"/>
    <n v="998"/>
    <x v="1"/>
    <s v="Cash"/>
    <n v="2395.2000000000003"/>
    <x v="2"/>
  </r>
  <r>
    <d v="2023-04-28T00:00:00"/>
    <x v="2"/>
    <x v="3"/>
    <x v="0"/>
    <n v="52"/>
    <n v="8"/>
    <n v="1406"/>
    <x v="0"/>
    <s v="Card"/>
    <n v="10685.6"/>
    <x v="2"/>
  </r>
  <r>
    <d v="2023-06-09T00:00:00"/>
    <x v="1"/>
    <x v="4"/>
    <x v="1"/>
    <n v="49"/>
    <n v="8"/>
    <n v="366"/>
    <x v="3"/>
    <s v="Card"/>
    <n v="2635.2000000000003"/>
    <x v="3"/>
  </r>
  <r>
    <d v="2023-04-06T00:00:00"/>
    <x v="3"/>
    <x v="4"/>
    <x v="1"/>
    <n v="41"/>
    <n v="2"/>
    <n v="1498"/>
    <x v="4"/>
    <s v="EFT"/>
    <n v="2546.6"/>
    <x v="3"/>
  </r>
  <r>
    <d v="2023-06-29T00:00:00"/>
    <x v="1"/>
    <x v="1"/>
    <x v="1"/>
    <n v="31"/>
    <n v="8"/>
    <n v="1113"/>
    <x v="1"/>
    <s v="Cash"/>
    <n v="7123.2000000000007"/>
    <x v="1"/>
  </r>
  <r>
    <d v="2023-04-23T00:00:00"/>
    <x v="1"/>
    <x v="4"/>
    <x v="1"/>
    <n v="49"/>
    <n v="1"/>
    <n v="709"/>
    <x v="0"/>
    <s v="EFT"/>
    <n v="673.55"/>
    <x v="3"/>
  </r>
  <r>
    <d v="2023-03-03T00:00:00"/>
    <x v="0"/>
    <x v="0"/>
    <x v="0"/>
    <n v="33"/>
    <n v="6"/>
    <n v="349"/>
    <x v="3"/>
    <s v="Cash"/>
    <n v="1884.6000000000001"/>
    <x v="1"/>
  </r>
  <r>
    <d v="2023-02-21T00:00:00"/>
    <x v="0"/>
    <x v="1"/>
    <x v="1"/>
    <n v="21"/>
    <n v="8"/>
    <n v="671"/>
    <x v="0"/>
    <s v="EFT"/>
    <n v="5099.5999999999995"/>
    <x v="0"/>
  </r>
  <r>
    <d v="2023-01-12T00:00:00"/>
    <x v="1"/>
    <x v="4"/>
    <x v="0"/>
    <n v="54"/>
    <n v="3"/>
    <n v="923"/>
    <x v="4"/>
    <s v="Card"/>
    <n v="2353.65"/>
    <x v="2"/>
  </r>
  <r>
    <d v="2023-02-08T00:00:00"/>
    <x v="2"/>
    <x v="2"/>
    <x v="1"/>
    <n v="38"/>
    <n v="8"/>
    <n v="941"/>
    <x v="0"/>
    <s v="Cash"/>
    <n v="7151.5999999999995"/>
    <x v="3"/>
  </r>
  <r>
    <d v="2023-05-10T00:00:00"/>
    <x v="0"/>
    <x v="0"/>
    <x v="0"/>
    <n v="31"/>
    <n v="1"/>
    <n v="1464"/>
    <x v="2"/>
    <s v="EFT"/>
    <n v="1464"/>
    <x v="1"/>
  </r>
  <r>
    <d v="2023-05-11T00:00:00"/>
    <x v="3"/>
    <x v="0"/>
    <x v="1"/>
    <n v="48"/>
    <n v="9"/>
    <n v="1360"/>
    <x v="3"/>
    <s v="Card"/>
    <n v="11016"/>
    <x v="3"/>
  </r>
  <r>
    <d v="2023-04-23T00:00:00"/>
    <x v="0"/>
    <x v="0"/>
    <x v="0"/>
    <n v="35"/>
    <n v="9"/>
    <n v="212"/>
    <x v="0"/>
    <s v="Card"/>
    <n v="1812.6"/>
    <x v="3"/>
  </r>
  <r>
    <d v="2023-04-11T00:00:00"/>
    <x v="0"/>
    <x v="1"/>
    <x v="0"/>
    <n v="24"/>
    <n v="5"/>
    <n v="1379"/>
    <x v="4"/>
    <s v="EFT"/>
    <n v="5860.75"/>
    <x v="0"/>
  </r>
  <r>
    <d v="2023-04-23T00:00:00"/>
    <x v="3"/>
    <x v="4"/>
    <x v="1"/>
    <n v="27"/>
    <n v="4"/>
    <n v="1051"/>
    <x v="4"/>
    <s v="Cash"/>
    <n v="3573.4"/>
    <x v="1"/>
  </r>
  <r>
    <d v="2023-03-22T00:00:00"/>
    <x v="1"/>
    <x v="4"/>
    <x v="1"/>
    <n v="24"/>
    <n v="6"/>
    <n v="592"/>
    <x v="0"/>
    <s v="Cash"/>
    <n v="3374.3999999999996"/>
    <x v="0"/>
  </r>
  <r>
    <d v="2023-04-23T00:00:00"/>
    <x v="3"/>
    <x v="2"/>
    <x v="1"/>
    <n v="50"/>
    <n v="7"/>
    <n v="392"/>
    <x v="4"/>
    <s v="Card"/>
    <n v="2332.4"/>
    <x v="2"/>
  </r>
  <r>
    <d v="2023-01-02T00:00:00"/>
    <x v="1"/>
    <x v="2"/>
    <x v="1"/>
    <n v="40"/>
    <n v="5"/>
    <n v="655"/>
    <x v="1"/>
    <s v="Cash"/>
    <n v="2620"/>
    <x v="3"/>
  </r>
  <r>
    <d v="2023-05-10T00:00:00"/>
    <x v="1"/>
    <x v="0"/>
    <x v="0"/>
    <n v="38"/>
    <n v="9"/>
    <n v="965"/>
    <x v="1"/>
    <s v="Cash"/>
    <n v="6948"/>
    <x v="3"/>
  </r>
  <r>
    <d v="2023-02-23T00:00:00"/>
    <x v="1"/>
    <x v="2"/>
    <x v="1"/>
    <n v="36"/>
    <n v="3"/>
    <n v="1387"/>
    <x v="1"/>
    <s v="Cash"/>
    <n v="3328.8"/>
    <x v="3"/>
  </r>
  <r>
    <d v="2023-03-28T00:00:00"/>
    <x v="3"/>
    <x v="1"/>
    <x v="0"/>
    <n v="36"/>
    <n v="7"/>
    <n v="1224"/>
    <x v="2"/>
    <s v="Card"/>
    <n v="8568"/>
    <x v="3"/>
  </r>
  <r>
    <d v="2023-05-09T00:00:00"/>
    <x v="1"/>
    <x v="4"/>
    <x v="0"/>
    <n v="53"/>
    <n v="5"/>
    <n v="1210"/>
    <x v="0"/>
    <s v="EFT"/>
    <n v="5747.5"/>
    <x v="2"/>
  </r>
  <r>
    <d v="2023-05-27T00:00:00"/>
    <x v="2"/>
    <x v="0"/>
    <x v="1"/>
    <n v="46"/>
    <n v="7"/>
    <n v="766"/>
    <x v="2"/>
    <s v="Cash"/>
    <n v="5362"/>
    <x v="3"/>
  </r>
  <r>
    <d v="2023-05-06T00:00:00"/>
    <x v="3"/>
    <x v="2"/>
    <x v="0"/>
    <n v="35"/>
    <n v="2"/>
    <n v="1307"/>
    <x v="4"/>
    <s v="Card"/>
    <n v="2221.9"/>
    <x v="3"/>
  </r>
  <r>
    <d v="2023-05-10T00:00:00"/>
    <x v="2"/>
    <x v="1"/>
    <x v="0"/>
    <n v="19"/>
    <n v="4"/>
    <n v="244"/>
    <x v="2"/>
    <s v="Card"/>
    <n v="976"/>
    <x v="0"/>
  </r>
  <r>
    <d v="2023-02-22T00:00:00"/>
    <x v="1"/>
    <x v="1"/>
    <x v="0"/>
    <n v="18"/>
    <n v="2"/>
    <n v="384"/>
    <x v="4"/>
    <s v="EFT"/>
    <n v="652.79999999999995"/>
    <x v="0"/>
  </r>
  <r>
    <d v="2023-06-21T00:00:00"/>
    <x v="0"/>
    <x v="2"/>
    <x v="0"/>
    <n v="22"/>
    <n v="7"/>
    <n v="235"/>
    <x v="4"/>
    <s v="Cash"/>
    <n v="1398.25"/>
    <x v="0"/>
  </r>
  <r>
    <d v="2023-06-09T00:00:00"/>
    <x v="1"/>
    <x v="4"/>
    <x v="1"/>
    <n v="37"/>
    <n v="2"/>
    <n v="1470"/>
    <x v="3"/>
    <s v="Cash"/>
    <n v="2646"/>
    <x v="3"/>
  </r>
  <r>
    <d v="2023-06-09T00:00:00"/>
    <x v="2"/>
    <x v="2"/>
    <x v="1"/>
    <n v="28"/>
    <n v="1"/>
    <n v="699"/>
    <x v="1"/>
    <s v="EFT"/>
    <n v="559.20000000000005"/>
    <x v="1"/>
  </r>
  <r>
    <d v="2023-03-09T00:00:00"/>
    <x v="2"/>
    <x v="0"/>
    <x v="1"/>
    <n v="59"/>
    <n v="9"/>
    <n v="1354"/>
    <x v="4"/>
    <s v="EFT"/>
    <n v="10358.1"/>
    <x v="2"/>
  </r>
  <r>
    <d v="2023-05-03T00:00:00"/>
    <x v="3"/>
    <x v="2"/>
    <x v="1"/>
    <n v="19"/>
    <n v="1"/>
    <n v="1036"/>
    <x v="3"/>
    <s v="Card"/>
    <n v="932.4"/>
    <x v="0"/>
  </r>
  <r>
    <d v="2023-05-25T00:00:00"/>
    <x v="0"/>
    <x v="1"/>
    <x v="0"/>
    <n v="20"/>
    <n v="8"/>
    <n v="413"/>
    <x v="1"/>
    <s v="Card"/>
    <n v="2643.2000000000003"/>
    <x v="0"/>
  </r>
  <r>
    <d v="2023-02-07T00:00:00"/>
    <x v="3"/>
    <x v="2"/>
    <x v="0"/>
    <n v="40"/>
    <n v="2"/>
    <n v="1048"/>
    <x v="4"/>
    <s v="EFT"/>
    <n v="1781.6"/>
    <x v="3"/>
  </r>
  <r>
    <d v="2023-01-24T00:00:00"/>
    <x v="2"/>
    <x v="4"/>
    <x v="1"/>
    <n v="29"/>
    <n v="8"/>
    <n v="590"/>
    <x v="4"/>
    <s v="Cash"/>
    <n v="4012"/>
    <x v="1"/>
  </r>
  <r>
    <d v="2023-03-10T00:00:00"/>
    <x v="1"/>
    <x v="3"/>
    <x v="1"/>
    <n v="37"/>
    <n v="3"/>
    <n v="1396"/>
    <x v="2"/>
    <s v="Card"/>
    <n v="4188"/>
    <x v="3"/>
  </r>
  <r>
    <d v="2023-04-26T00:00:00"/>
    <x v="0"/>
    <x v="2"/>
    <x v="1"/>
    <n v="22"/>
    <n v="6"/>
    <n v="1123"/>
    <x v="2"/>
    <s v="Card"/>
    <n v="6738"/>
    <x v="0"/>
  </r>
  <r>
    <d v="2023-04-08T00:00:00"/>
    <x v="1"/>
    <x v="4"/>
    <x v="0"/>
    <n v="54"/>
    <n v="3"/>
    <n v="361"/>
    <x v="1"/>
    <s v="Cash"/>
    <n v="866.40000000000009"/>
    <x v="2"/>
  </r>
  <r>
    <d v="2023-05-19T00:00:00"/>
    <x v="1"/>
    <x v="4"/>
    <x v="1"/>
    <n v="55"/>
    <n v="7"/>
    <n v="876"/>
    <x v="4"/>
    <s v="Card"/>
    <n v="5212.2"/>
    <x v="2"/>
  </r>
  <r>
    <d v="2023-05-24T00:00:00"/>
    <x v="0"/>
    <x v="1"/>
    <x v="1"/>
    <n v="47"/>
    <n v="9"/>
    <n v="1104"/>
    <x v="0"/>
    <s v="Cash"/>
    <n v="9439.1999999999989"/>
    <x v="3"/>
  </r>
  <r>
    <d v="2023-04-07T00:00:00"/>
    <x v="3"/>
    <x v="4"/>
    <x v="1"/>
    <n v="26"/>
    <n v="2"/>
    <n v="198"/>
    <x v="2"/>
    <s v="Cash"/>
    <n v="396"/>
    <x v="1"/>
  </r>
  <r>
    <d v="2023-05-04T00:00:00"/>
    <x v="1"/>
    <x v="4"/>
    <x v="0"/>
    <n v="51"/>
    <n v="5"/>
    <n v="1138"/>
    <x v="1"/>
    <s v="Cash"/>
    <n v="4552"/>
    <x v="2"/>
  </r>
  <r>
    <d v="2023-03-11T00:00:00"/>
    <x v="2"/>
    <x v="4"/>
    <x v="0"/>
    <n v="52"/>
    <n v="6"/>
    <n v="277"/>
    <x v="4"/>
    <s v="EFT"/>
    <n v="1412.7"/>
    <x v="2"/>
  </r>
  <r>
    <d v="2023-04-03T00:00:00"/>
    <x v="1"/>
    <x v="4"/>
    <x v="0"/>
    <n v="39"/>
    <n v="4"/>
    <n v="564"/>
    <x v="4"/>
    <s v="EFT"/>
    <n v="1917.6"/>
    <x v="3"/>
  </r>
  <r>
    <d v="2023-01-03T00:00:00"/>
    <x v="0"/>
    <x v="0"/>
    <x v="0"/>
    <n v="41"/>
    <n v="4"/>
    <n v="1162"/>
    <x v="0"/>
    <s v="EFT"/>
    <n v="4415.5999999999995"/>
    <x v="3"/>
  </r>
  <r>
    <d v="2023-05-28T00:00:00"/>
    <x v="0"/>
    <x v="0"/>
    <x v="0"/>
    <n v="34"/>
    <n v="4"/>
    <n v="916"/>
    <x v="1"/>
    <s v="Cash"/>
    <n v="2931.2000000000003"/>
    <x v="1"/>
  </r>
  <r>
    <d v="2023-06-13T00:00:00"/>
    <x v="0"/>
    <x v="1"/>
    <x v="0"/>
    <n v="27"/>
    <n v="2"/>
    <n v="1264"/>
    <x v="4"/>
    <s v="Cash"/>
    <n v="2148.7999999999997"/>
    <x v="1"/>
  </r>
  <r>
    <d v="2023-05-27T00:00:00"/>
    <x v="3"/>
    <x v="2"/>
    <x v="0"/>
    <n v="47"/>
    <n v="4"/>
    <n v="1088"/>
    <x v="2"/>
    <s v="EFT"/>
    <n v="4352"/>
    <x v="3"/>
  </r>
  <r>
    <d v="2023-03-31T00:00:00"/>
    <x v="1"/>
    <x v="4"/>
    <x v="0"/>
    <n v="40"/>
    <n v="1"/>
    <n v="770"/>
    <x v="0"/>
    <s v="Card"/>
    <n v="731.5"/>
    <x v="3"/>
  </r>
  <r>
    <d v="2023-05-27T00:00:00"/>
    <x v="3"/>
    <x v="2"/>
    <x v="1"/>
    <n v="49"/>
    <n v="6"/>
    <n v="1309"/>
    <x v="1"/>
    <s v="Cash"/>
    <n v="6283.2000000000007"/>
    <x v="3"/>
  </r>
  <r>
    <d v="2023-05-28T00:00:00"/>
    <x v="3"/>
    <x v="2"/>
    <x v="1"/>
    <n v="34"/>
    <n v="1"/>
    <n v="1115"/>
    <x v="0"/>
    <s v="Card"/>
    <n v="1059.25"/>
    <x v="1"/>
  </r>
  <r>
    <d v="2023-04-06T00:00:00"/>
    <x v="0"/>
    <x v="1"/>
    <x v="0"/>
    <n v="34"/>
    <n v="6"/>
    <n v="569"/>
    <x v="2"/>
    <s v="Card"/>
    <n v="3414"/>
    <x v="1"/>
  </r>
  <r>
    <d v="2023-02-21T00:00:00"/>
    <x v="0"/>
    <x v="4"/>
    <x v="0"/>
    <n v="31"/>
    <n v="1"/>
    <n v="355"/>
    <x v="1"/>
    <s v="Cash"/>
    <n v="284"/>
    <x v="1"/>
  </r>
  <r>
    <d v="2023-06-10T00:00:00"/>
    <x v="3"/>
    <x v="4"/>
    <x v="1"/>
    <n v="26"/>
    <n v="6"/>
    <n v="772"/>
    <x v="0"/>
    <s v="Cash"/>
    <n v="4400.3999999999996"/>
    <x v="1"/>
  </r>
  <r>
    <d v="2023-06-17T00:00:00"/>
    <x v="1"/>
    <x v="3"/>
    <x v="0"/>
    <n v="57"/>
    <n v="8"/>
    <n v="321"/>
    <x v="3"/>
    <s v="Card"/>
    <n v="2311.2000000000003"/>
    <x v="2"/>
  </r>
  <r>
    <d v="2023-05-08T00:00:00"/>
    <x v="2"/>
    <x v="2"/>
    <x v="0"/>
    <n v="19"/>
    <n v="2"/>
    <n v="1319"/>
    <x v="2"/>
    <s v="Card"/>
    <n v="2638"/>
    <x v="0"/>
  </r>
  <r>
    <d v="2023-02-08T00:00:00"/>
    <x v="3"/>
    <x v="2"/>
    <x v="0"/>
    <n v="42"/>
    <n v="2"/>
    <n v="1354"/>
    <x v="2"/>
    <s v="EFT"/>
    <n v="2708"/>
    <x v="3"/>
  </r>
  <r>
    <d v="2023-03-23T00:00:00"/>
    <x v="1"/>
    <x v="0"/>
    <x v="1"/>
    <n v="56"/>
    <n v="4"/>
    <n v="205"/>
    <x v="2"/>
    <s v="EFT"/>
    <n v="820"/>
    <x v="2"/>
  </r>
  <r>
    <d v="2023-04-14T00:00:00"/>
    <x v="0"/>
    <x v="3"/>
    <x v="1"/>
    <n v="26"/>
    <n v="3"/>
    <n v="296"/>
    <x v="3"/>
    <s v="Cash"/>
    <n v="799.2"/>
    <x v="1"/>
  </r>
  <r>
    <d v="2023-05-09T00:00:00"/>
    <x v="0"/>
    <x v="0"/>
    <x v="1"/>
    <n v="39"/>
    <n v="4"/>
    <n v="1409"/>
    <x v="3"/>
    <s v="EFT"/>
    <n v="5072.4000000000005"/>
    <x v="3"/>
  </r>
  <r>
    <d v="2023-01-11T00:00:00"/>
    <x v="1"/>
    <x v="0"/>
    <x v="1"/>
    <n v="21"/>
    <n v="7"/>
    <n v="1288"/>
    <x v="4"/>
    <s v="EFT"/>
    <n v="7663.5999999999995"/>
    <x v="0"/>
  </r>
  <r>
    <d v="2023-06-27T00:00:00"/>
    <x v="2"/>
    <x v="0"/>
    <x v="1"/>
    <n v="43"/>
    <n v="1"/>
    <n v="1142"/>
    <x v="0"/>
    <s v="EFT"/>
    <n v="1084.8999999999999"/>
    <x v="3"/>
  </r>
  <r>
    <d v="2023-05-31T00:00:00"/>
    <x v="0"/>
    <x v="1"/>
    <x v="0"/>
    <n v="46"/>
    <n v="6"/>
    <n v="1326"/>
    <x v="4"/>
    <s v="EFT"/>
    <n v="6762.5999999999995"/>
    <x v="3"/>
  </r>
  <r>
    <d v="2023-06-08T00:00:00"/>
    <x v="0"/>
    <x v="1"/>
    <x v="1"/>
    <n v="51"/>
    <n v="3"/>
    <n v="1287"/>
    <x v="0"/>
    <s v="Card"/>
    <n v="3667.95"/>
    <x v="2"/>
  </r>
  <r>
    <d v="2023-02-11T00:00:00"/>
    <x v="0"/>
    <x v="0"/>
    <x v="0"/>
    <n v="40"/>
    <n v="7"/>
    <n v="574"/>
    <x v="3"/>
    <s v="Cash"/>
    <n v="3616.2000000000003"/>
    <x v="3"/>
  </r>
  <r>
    <d v="2023-04-09T00:00:00"/>
    <x v="1"/>
    <x v="3"/>
    <x v="0"/>
    <n v="54"/>
    <n v="2"/>
    <n v="506"/>
    <x v="3"/>
    <s v="EFT"/>
    <n v="910.80000000000007"/>
    <x v="2"/>
  </r>
  <r>
    <d v="2023-01-07T00:00:00"/>
    <x v="3"/>
    <x v="2"/>
    <x v="1"/>
    <n v="28"/>
    <n v="2"/>
    <n v="1281"/>
    <x v="4"/>
    <s v="Card"/>
    <n v="2177.6999999999998"/>
    <x v="1"/>
  </r>
  <r>
    <d v="2023-05-24T00:00:00"/>
    <x v="0"/>
    <x v="3"/>
    <x v="1"/>
    <n v="23"/>
    <n v="4"/>
    <n v="998"/>
    <x v="1"/>
    <s v="Card"/>
    <n v="3193.6000000000004"/>
    <x v="0"/>
  </r>
  <r>
    <d v="2023-03-31T00:00:00"/>
    <x v="3"/>
    <x v="4"/>
    <x v="0"/>
    <n v="35"/>
    <n v="1"/>
    <n v="1397"/>
    <x v="4"/>
    <s v="Card"/>
    <n v="1187.45"/>
    <x v="3"/>
  </r>
  <r>
    <d v="2023-04-22T00:00:00"/>
    <x v="2"/>
    <x v="1"/>
    <x v="0"/>
    <n v="38"/>
    <n v="3"/>
    <n v="230"/>
    <x v="0"/>
    <s v="EFT"/>
    <n v="655.5"/>
    <x v="3"/>
  </r>
  <r>
    <d v="2023-03-01T00:00:00"/>
    <x v="0"/>
    <x v="2"/>
    <x v="0"/>
    <n v="59"/>
    <n v="9"/>
    <n v="463"/>
    <x v="4"/>
    <s v="EFT"/>
    <n v="3541.95"/>
    <x v="2"/>
  </r>
  <r>
    <d v="2023-04-23T00:00:00"/>
    <x v="0"/>
    <x v="2"/>
    <x v="1"/>
    <n v="53"/>
    <n v="7"/>
    <n v="387"/>
    <x v="2"/>
    <s v="Cash"/>
    <n v="2709"/>
    <x v="2"/>
  </r>
  <r>
    <d v="2023-01-02T00:00:00"/>
    <x v="2"/>
    <x v="4"/>
    <x v="1"/>
    <n v="58"/>
    <n v="7"/>
    <n v="1439"/>
    <x v="0"/>
    <s v="EFT"/>
    <n v="9569.35"/>
    <x v="2"/>
  </r>
  <r>
    <d v="2023-05-09T00:00:00"/>
    <x v="0"/>
    <x v="4"/>
    <x v="1"/>
    <n v="55"/>
    <n v="4"/>
    <n v="825"/>
    <x v="0"/>
    <s v="EFT"/>
    <n v="3135"/>
    <x v="2"/>
  </r>
  <r>
    <d v="2023-02-17T00:00:00"/>
    <x v="3"/>
    <x v="0"/>
    <x v="1"/>
    <n v="51"/>
    <n v="2"/>
    <n v="971"/>
    <x v="1"/>
    <s v="Card"/>
    <n v="1553.6000000000001"/>
    <x v="2"/>
  </r>
  <r>
    <d v="2023-05-20T00:00:00"/>
    <x v="1"/>
    <x v="1"/>
    <x v="1"/>
    <n v="34"/>
    <n v="4"/>
    <n v="454"/>
    <x v="3"/>
    <s v="Cash"/>
    <n v="1634.4"/>
    <x v="1"/>
  </r>
  <r>
    <d v="2023-02-06T00:00:00"/>
    <x v="3"/>
    <x v="1"/>
    <x v="0"/>
    <n v="54"/>
    <n v="6"/>
    <n v="1111"/>
    <x v="0"/>
    <s v="EFT"/>
    <n v="6332.7"/>
    <x v="2"/>
  </r>
  <r>
    <d v="2023-06-09T00:00:00"/>
    <x v="1"/>
    <x v="3"/>
    <x v="1"/>
    <n v="42"/>
    <n v="3"/>
    <n v="1444"/>
    <x v="3"/>
    <s v="EFT"/>
    <n v="3898.8"/>
    <x v="3"/>
  </r>
  <r>
    <d v="2023-01-09T00:00:00"/>
    <x v="1"/>
    <x v="0"/>
    <x v="0"/>
    <n v="55"/>
    <n v="1"/>
    <n v="208"/>
    <x v="4"/>
    <s v="Card"/>
    <n v="176.79999999999998"/>
    <x v="2"/>
  </r>
  <r>
    <d v="2023-04-09T00:00:00"/>
    <x v="3"/>
    <x v="0"/>
    <x v="0"/>
    <n v="29"/>
    <n v="8"/>
    <n v="1094"/>
    <x v="2"/>
    <s v="Card"/>
    <n v="8752"/>
    <x v="1"/>
  </r>
  <r>
    <d v="2023-05-27T00:00:00"/>
    <x v="3"/>
    <x v="0"/>
    <x v="0"/>
    <n v="40"/>
    <n v="5"/>
    <n v="748"/>
    <x v="1"/>
    <s v="EFT"/>
    <n v="2992"/>
    <x v="3"/>
  </r>
  <r>
    <d v="2023-02-17T00:00:00"/>
    <x v="3"/>
    <x v="0"/>
    <x v="1"/>
    <n v="59"/>
    <n v="5"/>
    <n v="1455"/>
    <x v="3"/>
    <s v="Cash"/>
    <n v="6547.5"/>
    <x v="2"/>
  </r>
  <r>
    <d v="2023-05-11T00:00:00"/>
    <x v="3"/>
    <x v="1"/>
    <x v="1"/>
    <n v="39"/>
    <n v="4"/>
    <n v="1461"/>
    <x v="0"/>
    <s v="Cash"/>
    <n v="5551.8"/>
    <x v="3"/>
  </r>
  <r>
    <d v="2023-05-28T00:00:00"/>
    <x v="2"/>
    <x v="1"/>
    <x v="1"/>
    <n v="38"/>
    <n v="6"/>
    <n v="596"/>
    <x v="3"/>
    <s v="Card"/>
    <n v="3218.4"/>
    <x v="3"/>
  </r>
  <r>
    <d v="2023-06-01T00:00:00"/>
    <x v="0"/>
    <x v="0"/>
    <x v="0"/>
    <n v="44"/>
    <n v="3"/>
    <n v="165"/>
    <x v="0"/>
    <s v="Card"/>
    <n v="470.25"/>
    <x v="3"/>
  </r>
  <r>
    <d v="2023-02-23T00:00:00"/>
    <x v="1"/>
    <x v="3"/>
    <x v="0"/>
    <n v="48"/>
    <n v="9"/>
    <n v="1278"/>
    <x v="3"/>
    <s v="EFT"/>
    <n v="10351.800000000001"/>
    <x v="3"/>
  </r>
  <r>
    <d v="2023-04-30T00:00:00"/>
    <x v="3"/>
    <x v="2"/>
    <x v="0"/>
    <n v="23"/>
    <n v="5"/>
    <n v="1296"/>
    <x v="0"/>
    <s v="Card"/>
    <n v="6156"/>
    <x v="0"/>
  </r>
  <r>
    <d v="2023-06-10T00:00:00"/>
    <x v="3"/>
    <x v="2"/>
    <x v="0"/>
    <n v="44"/>
    <n v="3"/>
    <n v="390"/>
    <x v="4"/>
    <s v="EFT"/>
    <n v="994.5"/>
    <x v="3"/>
  </r>
  <r>
    <d v="2023-06-01T00:00:00"/>
    <x v="3"/>
    <x v="3"/>
    <x v="0"/>
    <n v="57"/>
    <n v="1"/>
    <n v="1222"/>
    <x v="0"/>
    <s v="Cash"/>
    <n v="1160.8999999999999"/>
    <x v="2"/>
  </r>
  <r>
    <d v="2023-04-26T00:00:00"/>
    <x v="2"/>
    <x v="0"/>
    <x v="0"/>
    <n v="51"/>
    <n v="6"/>
    <n v="1321"/>
    <x v="0"/>
    <s v="Cash"/>
    <n v="7529.7"/>
    <x v="2"/>
  </r>
  <r>
    <d v="2023-03-16T00:00:00"/>
    <x v="3"/>
    <x v="1"/>
    <x v="1"/>
    <n v="29"/>
    <n v="2"/>
    <n v="506"/>
    <x v="2"/>
    <s v="EFT"/>
    <n v="1012"/>
    <x v="1"/>
  </r>
  <r>
    <d v="2023-04-23T00:00:00"/>
    <x v="3"/>
    <x v="2"/>
    <x v="1"/>
    <n v="24"/>
    <n v="3"/>
    <n v="193"/>
    <x v="0"/>
    <s v="Card"/>
    <n v="550.04999999999995"/>
    <x v="0"/>
  </r>
  <r>
    <d v="2023-06-13T00:00:00"/>
    <x v="3"/>
    <x v="4"/>
    <x v="1"/>
    <n v="27"/>
    <n v="1"/>
    <n v="1248"/>
    <x v="2"/>
    <s v="Cash"/>
    <n v="1248"/>
    <x v="1"/>
  </r>
  <r>
    <d v="2023-06-15T00:00:00"/>
    <x v="0"/>
    <x v="4"/>
    <x v="1"/>
    <n v="34"/>
    <n v="9"/>
    <n v="382"/>
    <x v="1"/>
    <s v="Card"/>
    <n v="2750.4"/>
    <x v="1"/>
  </r>
  <r>
    <d v="2023-04-14T00:00:00"/>
    <x v="2"/>
    <x v="3"/>
    <x v="0"/>
    <n v="43"/>
    <n v="8"/>
    <n v="823"/>
    <x v="2"/>
    <s v="Cash"/>
    <n v="6584"/>
    <x v="3"/>
  </r>
  <r>
    <d v="2023-03-25T00:00:00"/>
    <x v="3"/>
    <x v="0"/>
    <x v="0"/>
    <n v="38"/>
    <n v="2"/>
    <n v="667"/>
    <x v="4"/>
    <s v="EFT"/>
    <n v="1133.8999999999999"/>
    <x v="3"/>
  </r>
  <r>
    <d v="2023-04-22T00:00:00"/>
    <x v="1"/>
    <x v="2"/>
    <x v="1"/>
    <n v="45"/>
    <n v="8"/>
    <n v="1066"/>
    <x v="2"/>
    <s v="EFT"/>
    <n v="8528"/>
    <x v="3"/>
  </r>
  <r>
    <d v="2023-04-09T00:00:00"/>
    <x v="1"/>
    <x v="0"/>
    <x v="0"/>
    <n v="19"/>
    <n v="9"/>
    <n v="424"/>
    <x v="1"/>
    <s v="EFT"/>
    <n v="3052.8"/>
    <x v="0"/>
  </r>
  <r>
    <d v="2023-06-02T00:00:00"/>
    <x v="1"/>
    <x v="2"/>
    <x v="1"/>
    <n v="18"/>
    <n v="1"/>
    <n v="893"/>
    <x v="4"/>
    <s v="Cash"/>
    <n v="759.05"/>
    <x v="0"/>
  </r>
  <r>
    <d v="2023-04-03T00:00:00"/>
    <x v="2"/>
    <x v="3"/>
    <x v="1"/>
    <n v="53"/>
    <n v="5"/>
    <n v="880"/>
    <x v="3"/>
    <s v="Card"/>
    <n v="3960"/>
    <x v="2"/>
  </r>
  <r>
    <d v="2023-05-26T00:00:00"/>
    <x v="2"/>
    <x v="3"/>
    <x v="1"/>
    <n v="43"/>
    <n v="8"/>
    <n v="1104"/>
    <x v="3"/>
    <s v="Card"/>
    <n v="7948.8"/>
    <x v="3"/>
  </r>
  <r>
    <d v="2023-05-08T00:00:00"/>
    <x v="1"/>
    <x v="4"/>
    <x v="0"/>
    <n v="46"/>
    <n v="2"/>
    <n v="1250"/>
    <x v="2"/>
    <s v="Card"/>
    <n v="2500"/>
    <x v="3"/>
  </r>
  <r>
    <d v="2023-04-20T00:00:00"/>
    <x v="3"/>
    <x v="0"/>
    <x v="1"/>
    <n v="38"/>
    <n v="4"/>
    <n v="1390"/>
    <x v="2"/>
    <s v="Cash"/>
    <n v="5560"/>
    <x v="3"/>
  </r>
  <r>
    <d v="2023-03-23T00:00:00"/>
    <x v="2"/>
    <x v="4"/>
    <x v="1"/>
    <n v="28"/>
    <n v="7"/>
    <n v="1156"/>
    <x v="1"/>
    <s v="Cash"/>
    <n v="6473.6"/>
    <x v="1"/>
  </r>
  <r>
    <d v="2023-02-23T00:00:00"/>
    <x v="1"/>
    <x v="0"/>
    <x v="1"/>
    <n v="57"/>
    <n v="3"/>
    <n v="1407"/>
    <x v="1"/>
    <s v="Cash"/>
    <n v="3376.8"/>
    <x v="2"/>
  </r>
  <r>
    <d v="2023-06-12T00:00:00"/>
    <x v="1"/>
    <x v="4"/>
    <x v="0"/>
    <n v="28"/>
    <n v="5"/>
    <n v="1172"/>
    <x v="0"/>
    <s v="Cash"/>
    <n v="5567"/>
    <x v="1"/>
  </r>
  <r>
    <d v="2023-06-18T00:00:00"/>
    <x v="3"/>
    <x v="1"/>
    <x v="0"/>
    <n v="53"/>
    <n v="8"/>
    <n v="440"/>
    <x v="1"/>
    <s v="Cash"/>
    <n v="2816"/>
    <x v="2"/>
  </r>
  <r>
    <d v="2023-06-10T00:00:00"/>
    <x v="0"/>
    <x v="1"/>
    <x v="1"/>
    <n v="56"/>
    <n v="3"/>
    <n v="1323"/>
    <x v="0"/>
    <s v="Card"/>
    <n v="3770.5499999999997"/>
    <x v="2"/>
  </r>
  <r>
    <d v="2023-03-09T00:00:00"/>
    <x v="2"/>
    <x v="1"/>
    <x v="0"/>
    <n v="57"/>
    <n v="4"/>
    <n v="1089"/>
    <x v="4"/>
    <s v="Cash"/>
    <n v="3702.6"/>
    <x v="2"/>
  </r>
  <r>
    <d v="2023-02-02T00:00:00"/>
    <x v="3"/>
    <x v="1"/>
    <x v="0"/>
    <n v="52"/>
    <n v="9"/>
    <n v="783"/>
    <x v="2"/>
    <s v="Cash"/>
    <n v="7047"/>
    <x v="2"/>
  </r>
  <r>
    <d v="2023-05-22T00:00:00"/>
    <x v="1"/>
    <x v="2"/>
    <x v="0"/>
    <n v="51"/>
    <n v="7"/>
    <n v="654"/>
    <x v="4"/>
    <s v="Card"/>
    <n v="3891.2999999999997"/>
    <x v="2"/>
  </r>
  <r>
    <d v="2023-01-21T00:00:00"/>
    <x v="1"/>
    <x v="1"/>
    <x v="0"/>
    <n v="41"/>
    <n v="1"/>
    <n v="1264"/>
    <x v="1"/>
    <s v="Cash"/>
    <n v="1011.2"/>
    <x v="3"/>
  </r>
  <r>
    <d v="2023-02-17T00:00:00"/>
    <x v="3"/>
    <x v="3"/>
    <x v="0"/>
    <n v="39"/>
    <n v="4"/>
    <n v="1192"/>
    <x v="4"/>
    <s v="Card"/>
    <n v="4052.7999999999997"/>
    <x v="3"/>
  </r>
  <r>
    <d v="2023-05-28T00:00:00"/>
    <x v="2"/>
    <x v="3"/>
    <x v="0"/>
    <n v="22"/>
    <n v="4"/>
    <n v="767"/>
    <x v="4"/>
    <s v="Card"/>
    <n v="2607.7999999999997"/>
    <x v="0"/>
  </r>
  <r>
    <d v="2023-05-08T00:00:00"/>
    <x v="0"/>
    <x v="2"/>
    <x v="0"/>
    <n v="50"/>
    <n v="9"/>
    <n v="860"/>
    <x v="4"/>
    <s v="EFT"/>
    <n v="6579"/>
    <x v="2"/>
  </r>
  <r>
    <d v="2023-05-16T00:00:00"/>
    <x v="0"/>
    <x v="1"/>
    <x v="0"/>
    <n v="53"/>
    <n v="6"/>
    <n v="664"/>
    <x v="1"/>
    <s v="EFT"/>
    <n v="3187.2000000000003"/>
    <x v="2"/>
  </r>
  <r>
    <d v="2023-05-15T00:00:00"/>
    <x v="1"/>
    <x v="1"/>
    <x v="0"/>
    <n v="37"/>
    <n v="9"/>
    <n v="668"/>
    <x v="4"/>
    <s v="EFT"/>
    <n v="5110.2"/>
    <x v="3"/>
  </r>
  <r>
    <d v="2023-05-25T00:00:00"/>
    <x v="2"/>
    <x v="1"/>
    <x v="0"/>
    <n v="36"/>
    <n v="6"/>
    <n v="1262"/>
    <x v="0"/>
    <s v="EFT"/>
    <n v="7193.4"/>
    <x v="3"/>
  </r>
  <r>
    <d v="2023-05-08T00:00:00"/>
    <x v="0"/>
    <x v="4"/>
    <x v="1"/>
    <n v="52"/>
    <n v="6"/>
    <n v="568"/>
    <x v="1"/>
    <s v="Cash"/>
    <n v="2726.4"/>
    <x v="2"/>
  </r>
  <r>
    <d v="2023-02-02T00:00:00"/>
    <x v="2"/>
    <x v="0"/>
    <x v="1"/>
    <n v="34"/>
    <n v="5"/>
    <n v="1050"/>
    <x v="4"/>
    <s v="EFT"/>
    <n v="4462.5"/>
    <x v="1"/>
  </r>
  <r>
    <d v="2023-06-25T00:00:00"/>
    <x v="2"/>
    <x v="4"/>
    <x v="0"/>
    <n v="51"/>
    <n v="5"/>
    <n v="1427"/>
    <x v="1"/>
    <s v="Card"/>
    <n v="5708"/>
    <x v="2"/>
  </r>
  <r>
    <d v="2023-04-25T00:00:00"/>
    <x v="1"/>
    <x v="0"/>
    <x v="1"/>
    <n v="26"/>
    <n v="2"/>
    <n v="1484"/>
    <x v="3"/>
    <s v="Cash"/>
    <n v="2671.2000000000003"/>
    <x v="1"/>
  </r>
  <r>
    <d v="2023-04-29T00:00:00"/>
    <x v="0"/>
    <x v="1"/>
    <x v="1"/>
    <n v="43"/>
    <n v="8"/>
    <n v="1205"/>
    <x v="0"/>
    <s v="EFT"/>
    <n v="9158"/>
    <x v="3"/>
  </r>
  <r>
    <d v="2023-01-22T00:00:00"/>
    <x v="3"/>
    <x v="1"/>
    <x v="0"/>
    <n v="19"/>
    <n v="8"/>
    <n v="573"/>
    <x v="4"/>
    <s v="Card"/>
    <n v="3896.4"/>
    <x v="0"/>
  </r>
  <r>
    <d v="2023-06-07T00:00:00"/>
    <x v="1"/>
    <x v="4"/>
    <x v="0"/>
    <n v="26"/>
    <n v="1"/>
    <n v="98"/>
    <x v="3"/>
    <s v="Cash"/>
    <n v="88.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DF8C1-C5AB-469C-9417-61E3D76D1012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C51" firstHeaderRow="0" firstDataRow="1" firstDataCol="1"/>
  <pivotFields count="11"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numFmtId="2"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" fld="9" baseField="0" baseItem="0" numFmtId="2"/>
    <dataField name="Sum of Units_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022D9-FC8C-4E73-9BD4-508BF19FC710}" name="PivotTable6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6:B41" firstHeaderRow="1" firstDataRow="1" firstDataCol="1"/>
  <pivotFields count="11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axis="axisRow" showAll="0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Sum of Total_Sales" fld="9" baseField="1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0D6C7-DC60-4BE3-906A-5A33F7593701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2" firstHeaderRow="1" firstDataRow="1" firstDataCol="1"/>
  <pivotFields count="11">
    <pivotField numFmtId="14" showAll="0"/>
    <pivotField showAll="0"/>
    <pivotField showAll="0"/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3"/>
  </rowFields>
  <rowItems count="3">
    <i>
      <x v="1"/>
    </i>
    <i>
      <x/>
    </i>
    <i t="grand">
      <x/>
    </i>
  </rowItems>
  <colItems count="1">
    <i/>
  </colItems>
  <dataFields count="1">
    <dataField name="Sum of Total_Sales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63B08-A5AC-41A1-BC76-7CB49D28EABC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B25" firstHeaderRow="1" firstDataRow="1" firstDataCol="1"/>
  <pivotFields count="11">
    <pivotField numFmtId="14"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1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Sum of Total_Sales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D361B-10E7-4F3F-8B6D-C239D476E9FA}" name="PivotTable3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6" firstHeaderRow="1" firstDataRow="1" firstDataCol="1"/>
  <pivotFields count="11">
    <pivotField numFmtId="14" showAll="0"/>
    <pivotField showAll="0"/>
    <pivotField axis="axisRow" showAll="0" sortType="descending">
      <items count="6">
        <item x="4"/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2" showAll="0"/>
    <pivotField showAll="0"/>
  </pivotFields>
  <rowFields count="1">
    <field x="2"/>
  </rowFields>
  <rowItems count="6">
    <i>
      <x v="4"/>
    </i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Total_Sales" fld="9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BA8B26-26B6-4EF9-A2B7-48E186C80C5A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6" firstHeaderRow="0" firstDataRow="1" firstDataCol="0"/>
  <pivotFields count="11">
    <pivotField numFmtId="14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numFmtId="2"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Total_Sales" fld="9" baseField="0" baseItem="0" numFmtId="2"/>
    <dataField name="Average Units per Transaction" fld="5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338F-E092-4A8C-B8E8-F8BAA8773F52}">
  <dimension ref="A1:K301"/>
  <sheetViews>
    <sheetView topLeftCell="C276" workbookViewId="0">
      <selection activeCell="M1" sqref="M1:M1048576"/>
    </sheetView>
  </sheetViews>
  <sheetFormatPr defaultColWidth="17.42578125" defaultRowHeight="15" x14ac:dyDescent="0.25"/>
  <cols>
    <col min="10" max="10" width="17.42578125" style="3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24</v>
      </c>
    </row>
    <row r="2" spans="1:11" x14ac:dyDescent="0.25">
      <c r="A2" s="1">
        <v>45029</v>
      </c>
      <c r="B2" t="s">
        <v>10</v>
      </c>
      <c r="C2" t="s">
        <v>11</v>
      </c>
      <c r="D2" t="s">
        <v>12</v>
      </c>
      <c r="E2">
        <v>23</v>
      </c>
      <c r="F2">
        <v>9</v>
      </c>
      <c r="G2">
        <v>151</v>
      </c>
      <c r="H2">
        <v>5</v>
      </c>
      <c r="I2" t="s">
        <v>13</v>
      </c>
      <c r="J2" s="3">
        <v>1291.05</v>
      </c>
      <c r="K2" t="str">
        <f>IF(AND(E2&lt;=24,E2&gt;=15),"Youth",IF(AND(E2&lt;=34,E2&gt;=25),"Young Adult",IF(AND(E2&gt;=35,E2&lt;=49),"Adult","Senior")))</f>
        <v>Youth</v>
      </c>
    </row>
    <row r="3" spans="1:11" x14ac:dyDescent="0.25">
      <c r="A3" s="1">
        <v>45106</v>
      </c>
      <c r="B3" t="s">
        <v>10</v>
      </c>
      <c r="C3" t="s">
        <v>11</v>
      </c>
      <c r="D3" t="s">
        <v>14</v>
      </c>
      <c r="E3">
        <v>23</v>
      </c>
      <c r="F3">
        <v>8</v>
      </c>
      <c r="G3">
        <v>353</v>
      </c>
      <c r="H3">
        <v>5</v>
      </c>
      <c r="I3" t="s">
        <v>13</v>
      </c>
      <c r="J3" s="3">
        <v>2682.7999999999997</v>
      </c>
      <c r="K3" t="str">
        <f t="shared" ref="K3:K66" si="0">IF(AND(E3&lt;=24,E3&gt;=15),"Youth",IF(AND(E3&lt;=34,E3&gt;=25),"Young Adult",IF(AND(E3&gt;=35,E3&lt;=49),"Adult","Senior")))</f>
        <v>Youth</v>
      </c>
    </row>
    <row r="4" spans="1:11" x14ac:dyDescent="0.25">
      <c r="A4" s="1">
        <v>45019</v>
      </c>
      <c r="B4" t="s">
        <v>15</v>
      </c>
      <c r="C4" t="s">
        <v>11</v>
      </c>
      <c r="D4" t="s">
        <v>14</v>
      </c>
      <c r="E4">
        <v>20</v>
      </c>
      <c r="F4">
        <v>1</v>
      </c>
      <c r="G4">
        <v>1423</v>
      </c>
      <c r="H4">
        <v>20</v>
      </c>
      <c r="I4" t="s">
        <v>16</v>
      </c>
      <c r="J4" s="3">
        <v>1138.4000000000001</v>
      </c>
      <c r="K4" t="str">
        <f t="shared" si="0"/>
        <v>Youth</v>
      </c>
    </row>
    <row r="5" spans="1:11" x14ac:dyDescent="0.25">
      <c r="A5" s="1">
        <v>44941</v>
      </c>
      <c r="B5" t="s">
        <v>17</v>
      </c>
      <c r="C5" t="s">
        <v>11</v>
      </c>
      <c r="D5" t="s">
        <v>14</v>
      </c>
      <c r="E5">
        <v>24</v>
      </c>
      <c r="F5">
        <v>1</v>
      </c>
      <c r="G5">
        <v>417</v>
      </c>
      <c r="H5">
        <v>0</v>
      </c>
      <c r="I5" t="s">
        <v>13</v>
      </c>
      <c r="J5" s="3">
        <v>417</v>
      </c>
      <c r="K5" t="str">
        <f t="shared" si="0"/>
        <v>Youth</v>
      </c>
    </row>
    <row r="6" spans="1:11" x14ac:dyDescent="0.25">
      <c r="A6" s="1">
        <v>45033</v>
      </c>
      <c r="B6" t="s">
        <v>10</v>
      </c>
      <c r="C6" t="s">
        <v>18</v>
      </c>
      <c r="D6" t="s">
        <v>12</v>
      </c>
      <c r="E6">
        <v>25</v>
      </c>
      <c r="F6">
        <v>9</v>
      </c>
      <c r="G6">
        <v>1469</v>
      </c>
      <c r="H6">
        <v>10</v>
      </c>
      <c r="I6" t="s">
        <v>19</v>
      </c>
      <c r="J6" s="3">
        <v>11898.9</v>
      </c>
      <c r="K6" t="str">
        <f t="shared" si="0"/>
        <v>Young Adult</v>
      </c>
    </row>
    <row r="7" spans="1:11" x14ac:dyDescent="0.25">
      <c r="A7" s="1">
        <v>44998</v>
      </c>
      <c r="B7" t="s">
        <v>20</v>
      </c>
      <c r="C7" t="s">
        <v>21</v>
      </c>
      <c r="D7" t="s">
        <v>14</v>
      </c>
      <c r="E7">
        <v>59</v>
      </c>
      <c r="F7">
        <v>8</v>
      </c>
      <c r="G7">
        <v>686</v>
      </c>
      <c r="H7">
        <v>20</v>
      </c>
      <c r="I7" t="s">
        <v>19</v>
      </c>
      <c r="J7" s="3">
        <v>4390.4000000000005</v>
      </c>
      <c r="K7" t="str">
        <f t="shared" si="0"/>
        <v>Senior</v>
      </c>
    </row>
    <row r="8" spans="1:11" x14ac:dyDescent="0.25">
      <c r="A8" s="1">
        <v>44947</v>
      </c>
      <c r="B8" t="s">
        <v>17</v>
      </c>
      <c r="C8" t="s">
        <v>22</v>
      </c>
      <c r="D8" t="s">
        <v>12</v>
      </c>
      <c r="E8">
        <v>32</v>
      </c>
      <c r="F8">
        <v>9</v>
      </c>
      <c r="G8">
        <v>245</v>
      </c>
      <c r="H8">
        <v>10</v>
      </c>
      <c r="I8" t="s">
        <v>16</v>
      </c>
      <c r="J8" s="3">
        <v>1984.5</v>
      </c>
      <c r="K8" t="str">
        <f t="shared" si="0"/>
        <v>Young Adult</v>
      </c>
    </row>
    <row r="9" spans="1:11" x14ac:dyDescent="0.25">
      <c r="A9" s="1">
        <v>45029</v>
      </c>
      <c r="B9" t="s">
        <v>17</v>
      </c>
      <c r="C9" t="s">
        <v>11</v>
      </c>
      <c r="D9" t="s">
        <v>14</v>
      </c>
      <c r="E9">
        <v>46</v>
      </c>
      <c r="F9">
        <v>7</v>
      </c>
      <c r="G9">
        <v>90</v>
      </c>
      <c r="H9">
        <v>0</v>
      </c>
      <c r="I9" t="s">
        <v>19</v>
      </c>
      <c r="J9" s="3">
        <v>630</v>
      </c>
      <c r="K9" t="str">
        <f t="shared" si="0"/>
        <v>Adult</v>
      </c>
    </row>
    <row r="10" spans="1:11" x14ac:dyDescent="0.25">
      <c r="A10" s="1">
        <v>45048</v>
      </c>
      <c r="B10" t="s">
        <v>10</v>
      </c>
      <c r="C10" t="s">
        <v>23</v>
      </c>
      <c r="D10" t="s">
        <v>12</v>
      </c>
      <c r="E10">
        <v>50</v>
      </c>
      <c r="F10">
        <v>3</v>
      </c>
      <c r="G10">
        <v>1404</v>
      </c>
      <c r="H10">
        <v>0</v>
      </c>
      <c r="I10" t="s">
        <v>19</v>
      </c>
      <c r="J10" s="3">
        <v>4212</v>
      </c>
      <c r="K10" t="str">
        <f t="shared" si="0"/>
        <v>Senior</v>
      </c>
    </row>
    <row r="11" spans="1:11" x14ac:dyDescent="0.25">
      <c r="A11" s="1">
        <v>45001</v>
      </c>
      <c r="B11" t="s">
        <v>15</v>
      </c>
      <c r="C11" t="s">
        <v>11</v>
      </c>
      <c r="D11" t="s">
        <v>12</v>
      </c>
      <c r="E11">
        <v>47</v>
      </c>
      <c r="F11">
        <v>3</v>
      </c>
      <c r="G11">
        <v>808</v>
      </c>
      <c r="H11">
        <v>20</v>
      </c>
      <c r="I11" t="s">
        <v>13</v>
      </c>
      <c r="J11" s="3">
        <v>1939.2</v>
      </c>
      <c r="K11" t="str">
        <f t="shared" si="0"/>
        <v>Adult</v>
      </c>
    </row>
    <row r="12" spans="1:11" x14ac:dyDescent="0.25">
      <c r="A12" s="1">
        <v>45014</v>
      </c>
      <c r="B12" t="s">
        <v>10</v>
      </c>
      <c r="C12" t="s">
        <v>23</v>
      </c>
      <c r="D12" t="s">
        <v>12</v>
      </c>
      <c r="E12">
        <v>56</v>
      </c>
      <c r="F12">
        <v>2</v>
      </c>
      <c r="G12">
        <v>880</v>
      </c>
      <c r="H12">
        <v>0</v>
      </c>
      <c r="I12" t="s">
        <v>19</v>
      </c>
      <c r="J12" s="3">
        <v>1760</v>
      </c>
      <c r="K12" t="str">
        <f t="shared" si="0"/>
        <v>Senior</v>
      </c>
    </row>
    <row r="13" spans="1:11" x14ac:dyDescent="0.25">
      <c r="A13" s="1">
        <v>45043</v>
      </c>
      <c r="B13" t="s">
        <v>15</v>
      </c>
      <c r="C13" t="s">
        <v>18</v>
      </c>
      <c r="D13" t="s">
        <v>14</v>
      </c>
      <c r="E13">
        <v>44</v>
      </c>
      <c r="F13">
        <v>5</v>
      </c>
      <c r="G13">
        <v>181</v>
      </c>
      <c r="H13">
        <v>15</v>
      </c>
      <c r="I13" t="s">
        <v>16</v>
      </c>
      <c r="J13" s="3">
        <v>769.25</v>
      </c>
      <c r="K13" t="str">
        <f t="shared" si="0"/>
        <v>Adult</v>
      </c>
    </row>
    <row r="14" spans="1:11" x14ac:dyDescent="0.25">
      <c r="A14" s="1">
        <v>45026</v>
      </c>
      <c r="B14" t="s">
        <v>20</v>
      </c>
      <c r="C14" t="s">
        <v>23</v>
      </c>
      <c r="D14" t="s">
        <v>14</v>
      </c>
      <c r="E14">
        <v>53</v>
      </c>
      <c r="F14">
        <v>3</v>
      </c>
      <c r="G14">
        <v>1495</v>
      </c>
      <c r="H14">
        <v>5</v>
      </c>
      <c r="I14" t="s">
        <v>13</v>
      </c>
      <c r="J14" s="3">
        <v>4260.75</v>
      </c>
      <c r="K14" t="str">
        <f t="shared" si="0"/>
        <v>Senior</v>
      </c>
    </row>
    <row r="15" spans="1:11" x14ac:dyDescent="0.25">
      <c r="A15" s="1">
        <v>45030</v>
      </c>
      <c r="B15" t="s">
        <v>17</v>
      </c>
      <c r="C15" t="s">
        <v>22</v>
      </c>
      <c r="D15" t="s">
        <v>14</v>
      </c>
      <c r="E15">
        <v>46</v>
      </c>
      <c r="F15">
        <v>6</v>
      </c>
      <c r="G15">
        <v>858</v>
      </c>
      <c r="H15">
        <v>20</v>
      </c>
      <c r="I15" t="s">
        <v>13</v>
      </c>
      <c r="J15" s="3">
        <v>4118.4000000000005</v>
      </c>
      <c r="K15" t="str">
        <f t="shared" si="0"/>
        <v>Adult</v>
      </c>
    </row>
    <row r="16" spans="1:11" x14ac:dyDescent="0.25">
      <c r="A16" s="1">
        <v>45078</v>
      </c>
      <c r="B16" t="s">
        <v>20</v>
      </c>
      <c r="C16" t="s">
        <v>21</v>
      </c>
      <c r="D16" t="s">
        <v>14</v>
      </c>
      <c r="E16">
        <v>55</v>
      </c>
      <c r="F16">
        <v>2</v>
      </c>
      <c r="G16">
        <v>293</v>
      </c>
      <c r="H16">
        <v>10</v>
      </c>
      <c r="I16" t="s">
        <v>16</v>
      </c>
      <c r="J16" s="3">
        <v>527.4</v>
      </c>
      <c r="K16" t="str">
        <f t="shared" si="0"/>
        <v>Senior</v>
      </c>
    </row>
    <row r="17" spans="1:11" x14ac:dyDescent="0.25">
      <c r="A17" s="1">
        <v>45057</v>
      </c>
      <c r="B17" t="s">
        <v>15</v>
      </c>
      <c r="C17" t="s">
        <v>23</v>
      </c>
      <c r="D17" t="s">
        <v>12</v>
      </c>
      <c r="E17">
        <v>50</v>
      </c>
      <c r="F17">
        <v>3</v>
      </c>
      <c r="G17">
        <v>1191</v>
      </c>
      <c r="H17">
        <v>15</v>
      </c>
      <c r="I17" t="s">
        <v>13</v>
      </c>
      <c r="J17" s="3">
        <v>3037.0499999999997</v>
      </c>
      <c r="K17" t="str">
        <f t="shared" si="0"/>
        <v>Senior</v>
      </c>
    </row>
    <row r="18" spans="1:11" x14ac:dyDescent="0.25">
      <c r="A18" s="1">
        <v>45076</v>
      </c>
      <c r="B18" t="s">
        <v>15</v>
      </c>
      <c r="C18" t="s">
        <v>23</v>
      </c>
      <c r="D18" t="s">
        <v>14</v>
      </c>
      <c r="E18">
        <v>54</v>
      </c>
      <c r="F18">
        <v>5</v>
      </c>
      <c r="G18">
        <v>480</v>
      </c>
      <c r="H18">
        <v>20</v>
      </c>
      <c r="I18" t="s">
        <v>13</v>
      </c>
      <c r="J18" s="3">
        <v>1920</v>
      </c>
      <c r="K18" t="str">
        <f t="shared" si="0"/>
        <v>Senior</v>
      </c>
    </row>
    <row r="19" spans="1:11" x14ac:dyDescent="0.25">
      <c r="A19" s="1">
        <v>44979</v>
      </c>
      <c r="B19" t="s">
        <v>20</v>
      </c>
      <c r="C19" t="s">
        <v>21</v>
      </c>
      <c r="D19" t="s">
        <v>14</v>
      </c>
      <c r="E19">
        <v>44</v>
      </c>
      <c r="F19">
        <v>1</v>
      </c>
      <c r="G19">
        <v>667</v>
      </c>
      <c r="H19">
        <v>0</v>
      </c>
      <c r="I19" t="s">
        <v>16</v>
      </c>
      <c r="J19" s="3">
        <v>667</v>
      </c>
      <c r="K19" t="str">
        <f t="shared" si="0"/>
        <v>Adult</v>
      </c>
    </row>
    <row r="20" spans="1:11" x14ac:dyDescent="0.25">
      <c r="A20" s="1">
        <v>44928</v>
      </c>
      <c r="B20" t="s">
        <v>15</v>
      </c>
      <c r="C20" t="s">
        <v>22</v>
      </c>
      <c r="D20" t="s">
        <v>12</v>
      </c>
      <c r="E20">
        <v>50</v>
      </c>
      <c r="F20">
        <v>1</v>
      </c>
      <c r="G20">
        <v>968</v>
      </c>
      <c r="H20">
        <v>0</v>
      </c>
      <c r="I20" t="s">
        <v>13</v>
      </c>
      <c r="J20" s="3">
        <v>968</v>
      </c>
      <c r="K20" t="str">
        <f t="shared" si="0"/>
        <v>Senior</v>
      </c>
    </row>
    <row r="21" spans="1:11" x14ac:dyDescent="0.25">
      <c r="A21" s="1">
        <v>45014</v>
      </c>
      <c r="B21" t="s">
        <v>20</v>
      </c>
      <c r="C21" t="s">
        <v>11</v>
      </c>
      <c r="D21" t="s">
        <v>12</v>
      </c>
      <c r="E21">
        <v>21</v>
      </c>
      <c r="F21">
        <v>9</v>
      </c>
      <c r="G21">
        <v>1149</v>
      </c>
      <c r="H21">
        <v>0</v>
      </c>
      <c r="I21" t="s">
        <v>16</v>
      </c>
      <c r="J21" s="3">
        <v>10341</v>
      </c>
      <c r="K21" t="str">
        <f t="shared" si="0"/>
        <v>Youth</v>
      </c>
    </row>
    <row r="22" spans="1:11" x14ac:dyDescent="0.25">
      <c r="A22" s="1">
        <v>45084</v>
      </c>
      <c r="B22" t="s">
        <v>17</v>
      </c>
      <c r="C22" t="s">
        <v>23</v>
      </c>
      <c r="D22" t="s">
        <v>12</v>
      </c>
      <c r="E22">
        <v>39</v>
      </c>
      <c r="F22">
        <v>7</v>
      </c>
      <c r="G22">
        <v>671</v>
      </c>
      <c r="H22">
        <v>0</v>
      </c>
      <c r="I22" t="s">
        <v>16</v>
      </c>
      <c r="J22" s="3">
        <v>4697</v>
      </c>
      <c r="K22" t="str">
        <f t="shared" si="0"/>
        <v>Adult</v>
      </c>
    </row>
    <row r="23" spans="1:11" x14ac:dyDescent="0.25">
      <c r="A23" s="1">
        <v>44964</v>
      </c>
      <c r="B23" t="s">
        <v>20</v>
      </c>
      <c r="C23" t="s">
        <v>21</v>
      </c>
      <c r="D23" t="s">
        <v>14</v>
      </c>
      <c r="E23">
        <v>19</v>
      </c>
      <c r="F23">
        <v>1</v>
      </c>
      <c r="G23">
        <v>1413</v>
      </c>
      <c r="H23">
        <v>10</v>
      </c>
      <c r="I23" t="s">
        <v>19</v>
      </c>
      <c r="J23" s="3">
        <v>1271.7</v>
      </c>
      <c r="K23" t="str">
        <f t="shared" si="0"/>
        <v>Youth</v>
      </c>
    </row>
    <row r="24" spans="1:11" x14ac:dyDescent="0.25">
      <c r="A24" s="1">
        <v>45056</v>
      </c>
      <c r="B24" t="s">
        <v>17</v>
      </c>
      <c r="C24" t="s">
        <v>18</v>
      </c>
      <c r="D24" t="s">
        <v>12</v>
      </c>
      <c r="E24">
        <v>27</v>
      </c>
      <c r="F24">
        <v>8</v>
      </c>
      <c r="G24">
        <v>1189</v>
      </c>
      <c r="H24">
        <v>15</v>
      </c>
      <c r="I24" t="s">
        <v>19</v>
      </c>
      <c r="J24" s="3">
        <v>8085.2</v>
      </c>
      <c r="K24" t="str">
        <f t="shared" si="0"/>
        <v>Young Adult</v>
      </c>
    </row>
    <row r="25" spans="1:11" x14ac:dyDescent="0.25">
      <c r="A25" s="1">
        <v>44947</v>
      </c>
      <c r="B25" t="s">
        <v>20</v>
      </c>
      <c r="C25" t="s">
        <v>21</v>
      </c>
      <c r="D25" t="s">
        <v>12</v>
      </c>
      <c r="E25">
        <v>22</v>
      </c>
      <c r="F25">
        <v>3</v>
      </c>
      <c r="G25">
        <v>171</v>
      </c>
      <c r="H25">
        <v>5</v>
      </c>
      <c r="I25" t="s">
        <v>13</v>
      </c>
      <c r="J25" s="3">
        <v>487.34999999999997</v>
      </c>
      <c r="K25" t="str">
        <f t="shared" si="0"/>
        <v>Youth</v>
      </c>
    </row>
    <row r="26" spans="1:11" x14ac:dyDescent="0.25">
      <c r="A26" s="1">
        <v>45087</v>
      </c>
      <c r="B26" t="s">
        <v>15</v>
      </c>
      <c r="C26" t="s">
        <v>18</v>
      </c>
      <c r="D26" t="s">
        <v>12</v>
      </c>
      <c r="E26">
        <v>27</v>
      </c>
      <c r="F26">
        <v>8</v>
      </c>
      <c r="G26">
        <v>752</v>
      </c>
      <c r="H26">
        <v>10</v>
      </c>
      <c r="I26" t="s">
        <v>13</v>
      </c>
      <c r="J26" s="3">
        <v>5414.4000000000005</v>
      </c>
      <c r="K26" t="str">
        <f t="shared" si="0"/>
        <v>Young Adult</v>
      </c>
    </row>
    <row r="27" spans="1:11" x14ac:dyDescent="0.25">
      <c r="A27" s="1">
        <v>44984</v>
      </c>
      <c r="B27" t="s">
        <v>20</v>
      </c>
      <c r="C27" t="s">
        <v>22</v>
      </c>
      <c r="D27" t="s">
        <v>14</v>
      </c>
      <c r="E27">
        <v>50</v>
      </c>
      <c r="F27">
        <v>5</v>
      </c>
      <c r="G27">
        <v>793</v>
      </c>
      <c r="H27">
        <v>10</v>
      </c>
      <c r="I27" t="s">
        <v>16</v>
      </c>
      <c r="J27" s="3">
        <v>3568.5</v>
      </c>
      <c r="K27" t="str">
        <f t="shared" si="0"/>
        <v>Senior</v>
      </c>
    </row>
    <row r="28" spans="1:11" x14ac:dyDescent="0.25">
      <c r="A28" s="1">
        <v>44948</v>
      </c>
      <c r="B28" t="s">
        <v>15</v>
      </c>
      <c r="C28" t="s">
        <v>11</v>
      </c>
      <c r="D28" t="s">
        <v>12</v>
      </c>
      <c r="E28">
        <v>55</v>
      </c>
      <c r="F28">
        <v>1</v>
      </c>
      <c r="G28">
        <v>1015</v>
      </c>
      <c r="H28">
        <v>5</v>
      </c>
      <c r="I28" t="s">
        <v>13</v>
      </c>
      <c r="J28" s="3">
        <v>964.25</v>
      </c>
      <c r="K28" t="str">
        <f t="shared" si="0"/>
        <v>Senior</v>
      </c>
    </row>
    <row r="29" spans="1:11" x14ac:dyDescent="0.25">
      <c r="A29" s="1">
        <v>45015</v>
      </c>
      <c r="B29" t="s">
        <v>20</v>
      </c>
      <c r="C29" t="s">
        <v>21</v>
      </c>
      <c r="D29" t="s">
        <v>14</v>
      </c>
      <c r="E29">
        <v>30</v>
      </c>
      <c r="F29">
        <v>7</v>
      </c>
      <c r="G29">
        <v>321</v>
      </c>
      <c r="H29">
        <v>5</v>
      </c>
      <c r="I29" t="s">
        <v>16</v>
      </c>
      <c r="J29" s="3">
        <v>2134.65</v>
      </c>
      <c r="K29" t="str">
        <f t="shared" si="0"/>
        <v>Young Adult</v>
      </c>
    </row>
    <row r="30" spans="1:11" x14ac:dyDescent="0.25">
      <c r="A30" s="1">
        <v>44975</v>
      </c>
      <c r="B30" t="s">
        <v>20</v>
      </c>
      <c r="C30" t="s">
        <v>23</v>
      </c>
      <c r="D30" t="s">
        <v>14</v>
      </c>
      <c r="E30">
        <v>48</v>
      </c>
      <c r="F30">
        <v>5</v>
      </c>
      <c r="G30">
        <v>81</v>
      </c>
      <c r="H30">
        <v>0</v>
      </c>
      <c r="I30" t="s">
        <v>16</v>
      </c>
      <c r="J30" s="3">
        <v>405</v>
      </c>
      <c r="K30" t="str">
        <f t="shared" si="0"/>
        <v>Adult</v>
      </c>
    </row>
    <row r="31" spans="1:11" x14ac:dyDescent="0.25">
      <c r="A31" s="1">
        <v>44985</v>
      </c>
      <c r="B31" t="s">
        <v>10</v>
      </c>
      <c r="C31" t="s">
        <v>22</v>
      </c>
      <c r="D31" t="s">
        <v>12</v>
      </c>
      <c r="E31">
        <v>53</v>
      </c>
      <c r="F31">
        <v>6</v>
      </c>
      <c r="G31">
        <v>304</v>
      </c>
      <c r="H31">
        <v>10</v>
      </c>
      <c r="I31" t="s">
        <v>13</v>
      </c>
      <c r="J31" s="3">
        <v>1641.6000000000001</v>
      </c>
      <c r="K31" t="str">
        <f t="shared" si="0"/>
        <v>Senior</v>
      </c>
    </row>
    <row r="32" spans="1:11" x14ac:dyDescent="0.25">
      <c r="A32" s="1">
        <v>45096</v>
      </c>
      <c r="B32" t="s">
        <v>15</v>
      </c>
      <c r="C32" t="s">
        <v>21</v>
      </c>
      <c r="D32" t="s">
        <v>12</v>
      </c>
      <c r="E32">
        <v>41</v>
      </c>
      <c r="F32">
        <v>6</v>
      </c>
      <c r="G32">
        <v>880</v>
      </c>
      <c r="H32">
        <v>20</v>
      </c>
      <c r="I32" t="s">
        <v>16</v>
      </c>
      <c r="J32" s="3">
        <v>4224</v>
      </c>
      <c r="K32" t="str">
        <f t="shared" si="0"/>
        <v>Adult</v>
      </c>
    </row>
    <row r="33" spans="1:11" x14ac:dyDescent="0.25">
      <c r="A33" s="1">
        <v>44941</v>
      </c>
      <c r="B33" t="s">
        <v>10</v>
      </c>
      <c r="C33" t="s">
        <v>23</v>
      </c>
      <c r="D33" t="s">
        <v>14</v>
      </c>
      <c r="E33">
        <v>32</v>
      </c>
      <c r="F33">
        <v>8</v>
      </c>
      <c r="G33">
        <v>668</v>
      </c>
      <c r="H33">
        <v>5</v>
      </c>
      <c r="I33" t="s">
        <v>19</v>
      </c>
      <c r="J33" s="3">
        <v>5076.8</v>
      </c>
      <c r="K33" t="str">
        <f t="shared" si="0"/>
        <v>Young Adult</v>
      </c>
    </row>
    <row r="34" spans="1:11" x14ac:dyDescent="0.25">
      <c r="A34" s="1">
        <v>45101</v>
      </c>
      <c r="B34" t="s">
        <v>15</v>
      </c>
      <c r="C34" t="s">
        <v>21</v>
      </c>
      <c r="D34" t="s">
        <v>12</v>
      </c>
      <c r="E34">
        <v>46</v>
      </c>
      <c r="F34">
        <v>9</v>
      </c>
      <c r="G34">
        <v>195</v>
      </c>
      <c r="H34">
        <v>5</v>
      </c>
      <c r="I34" t="s">
        <v>13</v>
      </c>
      <c r="J34" s="3">
        <v>1667.25</v>
      </c>
      <c r="K34" t="str">
        <f t="shared" si="0"/>
        <v>Adult</v>
      </c>
    </row>
    <row r="35" spans="1:11" x14ac:dyDescent="0.25">
      <c r="A35" s="1">
        <v>44977</v>
      </c>
      <c r="B35" t="s">
        <v>10</v>
      </c>
      <c r="C35" t="s">
        <v>18</v>
      </c>
      <c r="D35" t="s">
        <v>12</v>
      </c>
      <c r="E35">
        <v>25</v>
      </c>
      <c r="F35">
        <v>2</v>
      </c>
      <c r="G35">
        <v>997</v>
      </c>
      <c r="H35">
        <v>15</v>
      </c>
      <c r="I35" t="s">
        <v>19</v>
      </c>
      <c r="J35" s="3">
        <v>1694.8999999999999</v>
      </c>
      <c r="K35" t="str">
        <f t="shared" si="0"/>
        <v>Young Adult</v>
      </c>
    </row>
    <row r="36" spans="1:11" x14ac:dyDescent="0.25">
      <c r="A36" s="1">
        <v>45034</v>
      </c>
      <c r="B36" t="s">
        <v>17</v>
      </c>
      <c r="C36" t="s">
        <v>21</v>
      </c>
      <c r="D36" t="s">
        <v>14</v>
      </c>
      <c r="E36">
        <v>22</v>
      </c>
      <c r="F36">
        <v>9</v>
      </c>
      <c r="G36">
        <v>1206</v>
      </c>
      <c r="H36">
        <v>20</v>
      </c>
      <c r="I36" t="s">
        <v>13</v>
      </c>
      <c r="J36" s="3">
        <v>8683.2000000000007</v>
      </c>
      <c r="K36" t="str">
        <f t="shared" si="0"/>
        <v>Youth</v>
      </c>
    </row>
    <row r="37" spans="1:11" x14ac:dyDescent="0.25">
      <c r="A37" s="1">
        <v>44981</v>
      </c>
      <c r="B37" t="s">
        <v>20</v>
      </c>
      <c r="C37" t="s">
        <v>21</v>
      </c>
      <c r="D37" t="s">
        <v>14</v>
      </c>
      <c r="E37">
        <v>46</v>
      </c>
      <c r="F37">
        <v>9</v>
      </c>
      <c r="G37">
        <v>273</v>
      </c>
      <c r="H37">
        <v>20</v>
      </c>
      <c r="I37" t="s">
        <v>16</v>
      </c>
      <c r="J37" s="3">
        <v>1965.6000000000001</v>
      </c>
      <c r="K37" t="str">
        <f t="shared" si="0"/>
        <v>Adult</v>
      </c>
    </row>
    <row r="38" spans="1:11" x14ac:dyDescent="0.25">
      <c r="A38" s="1">
        <v>44990</v>
      </c>
      <c r="B38" t="s">
        <v>15</v>
      </c>
      <c r="C38" t="s">
        <v>21</v>
      </c>
      <c r="D38" t="s">
        <v>12</v>
      </c>
      <c r="E38">
        <v>21</v>
      </c>
      <c r="F38">
        <v>7</v>
      </c>
      <c r="G38">
        <v>1269</v>
      </c>
      <c r="H38">
        <v>5</v>
      </c>
      <c r="I38" t="s">
        <v>13</v>
      </c>
      <c r="J38" s="3">
        <v>8438.85</v>
      </c>
      <c r="K38" t="str">
        <f t="shared" si="0"/>
        <v>Youth</v>
      </c>
    </row>
    <row r="39" spans="1:11" x14ac:dyDescent="0.25">
      <c r="A39" s="1">
        <v>45057</v>
      </c>
      <c r="B39" t="s">
        <v>15</v>
      </c>
      <c r="C39" t="s">
        <v>22</v>
      </c>
      <c r="D39" t="s">
        <v>14</v>
      </c>
      <c r="E39">
        <v>29</v>
      </c>
      <c r="F39">
        <v>1</v>
      </c>
      <c r="G39">
        <v>950</v>
      </c>
      <c r="H39">
        <v>0</v>
      </c>
      <c r="I39" t="s">
        <v>19</v>
      </c>
      <c r="J39" s="3">
        <v>950</v>
      </c>
      <c r="K39" t="str">
        <f t="shared" si="0"/>
        <v>Young Adult</v>
      </c>
    </row>
    <row r="40" spans="1:11" x14ac:dyDescent="0.25">
      <c r="A40" s="1">
        <v>44977</v>
      </c>
      <c r="B40" t="s">
        <v>20</v>
      </c>
      <c r="C40" t="s">
        <v>21</v>
      </c>
      <c r="D40" t="s">
        <v>12</v>
      </c>
      <c r="E40">
        <v>19</v>
      </c>
      <c r="F40">
        <v>7</v>
      </c>
      <c r="G40">
        <v>169</v>
      </c>
      <c r="H40">
        <v>15</v>
      </c>
      <c r="I40" t="s">
        <v>16</v>
      </c>
      <c r="J40" s="3">
        <v>1005.55</v>
      </c>
      <c r="K40" t="str">
        <f t="shared" si="0"/>
        <v>Youth</v>
      </c>
    </row>
    <row r="41" spans="1:11" x14ac:dyDescent="0.25">
      <c r="A41" s="1">
        <v>45061</v>
      </c>
      <c r="B41" t="s">
        <v>15</v>
      </c>
      <c r="C41" t="s">
        <v>23</v>
      </c>
      <c r="D41" t="s">
        <v>12</v>
      </c>
      <c r="E41">
        <v>44</v>
      </c>
      <c r="F41">
        <v>5</v>
      </c>
      <c r="G41">
        <v>201</v>
      </c>
      <c r="H41">
        <v>20</v>
      </c>
      <c r="I41" t="s">
        <v>13</v>
      </c>
      <c r="J41" s="3">
        <v>804</v>
      </c>
      <c r="K41" t="str">
        <f t="shared" si="0"/>
        <v>Adult</v>
      </c>
    </row>
    <row r="42" spans="1:11" x14ac:dyDescent="0.25">
      <c r="A42" s="1">
        <v>44947</v>
      </c>
      <c r="B42" t="s">
        <v>15</v>
      </c>
      <c r="C42" t="s">
        <v>18</v>
      </c>
      <c r="D42" t="s">
        <v>12</v>
      </c>
      <c r="E42">
        <v>48</v>
      </c>
      <c r="F42">
        <v>6</v>
      </c>
      <c r="G42">
        <v>222</v>
      </c>
      <c r="H42">
        <v>5</v>
      </c>
      <c r="I42" t="s">
        <v>13</v>
      </c>
      <c r="J42" s="3">
        <v>1265.3999999999999</v>
      </c>
      <c r="K42" t="str">
        <f t="shared" si="0"/>
        <v>Adult</v>
      </c>
    </row>
    <row r="43" spans="1:11" x14ac:dyDescent="0.25">
      <c r="A43" s="1">
        <v>44999</v>
      </c>
      <c r="B43" t="s">
        <v>10</v>
      </c>
      <c r="C43" t="s">
        <v>18</v>
      </c>
      <c r="D43" t="s">
        <v>14</v>
      </c>
      <c r="E43">
        <v>53</v>
      </c>
      <c r="F43">
        <v>7</v>
      </c>
      <c r="G43">
        <v>1073</v>
      </c>
      <c r="H43">
        <v>20</v>
      </c>
      <c r="I43" t="s">
        <v>13</v>
      </c>
      <c r="J43" s="3">
        <v>6008.8</v>
      </c>
      <c r="K43" t="str">
        <f t="shared" si="0"/>
        <v>Senior</v>
      </c>
    </row>
    <row r="44" spans="1:11" x14ac:dyDescent="0.25">
      <c r="A44" s="1">
        <v>45093</v>
      </c>
      <c r="B44" t="s">
        <v>15</v>
      </c>
      <c r="C44" t="s">
        <v>21</v>
      </c>
      <c r="D44" t="s">
        <v>12</v>
      </c>
      <c r="E44">
        <v>53</v>
      </c>
      <c r="F44">
        <v>5</v>
      </c>
      <c r="G44">
        <v>185</v>
      </c>
      <c r="H44">
        <v>15</v>
      </c>
      <c r="I44" t="s">
        <v>19</v>
      </c>
      <c r="J44" s="3">
        <v>786.25</v>
      </c>
      <c r="K44" t="str">
        <f t="shared" si="0"/>
        <v>Senior</v>
      </c>
    </row>
    <row r="45" spans="1:11" x14ac:dyDescent="0.25">
      <c r="A45" s="1">
        <v>44944</v>
      </c>
      <c r="B45" t="s">
        <v>17</v>
      </c>
      <c r="C45" t="s">
        <v>22</v>
      </c>
      <c r="D45" t="s">
        <v>12</v>
      </c>
      <c r="E45">
        <v>43</v>
      </c>
      <c r="F45">
        <v>7</v>
      </c>
      <c r="G45">
        <v>966</v>
      </c>
      <c r="H45">
        <v>15</v>
      </c>
      <c r="I45" t="s">
        <v>19</v>
      </c>
      <c r="J45" s="3">
        <v>5747.7</v>
      </c>
      <c r="K45" t="str">
        <f t="shared" si="0"/>
        <v>Adult</v>
      </c>
    </row>
    <row r="46" spans="1:11" x14ac:dyDescent="0.25">
      <c r="A46" s="1">
        <v>45058</v>
      </c>
      <c r="B46" t="s">
        <v>17</v>
      </c>
      <c r="C46" t="s">
        <v>22</v>
      </c>
      <c r="D46" t="s">
        <v>12</v>
      </c>
      <c r="E46">
        <v>44</v>
      </c>
      <c r="F46">
        <v>9</v>
      </c>
      <c r="G46">
        <v>507</v>
      </c>
      <c r="H46">
        <v>10</v>
      </c>
      <c r="I46" t="s">
        <v>13</v>
      </c>
      <c r="J46" s="3">
        <v>4106.7</v>
      </c>
      <c r="K46" t="str">
        <f t="shared" si="0"/>
        <v>Adult</v>
      </c>
    </row>
    <row r="47" spans="1:11" x14ac:dyDescent="0.25">
      <c r="A47" s="1">
        <v>45015</v>
      </c>
      <c r="B47" t="s">
        <v>20</v>
      </c>
      <c r="C47" t="s">
        <v>23</v>
      </c>
      <c r="D47" t="s">
        <v>14</v>
      </c>
      <c r="E47">
        <v>22</v>
      </c>
      <c r="F47">
        <v>3</v>
      </c>
      <c r="G47">
        <v>1408</v>
      </c>
      <c r="H47">
        <v>5</v>
      </c>
      <c r="I47" t="s">
        <v>16</v>
      </c>
      <c r="J47" s="3">
        <v>4012.7999999999997</v>
      </c>
      <c r="K47" t="str">
        <f t="shared" si="0"/>
        <v>Youth</v>
      </c>
    </row>
    <row r="48" spans="1:11" x14ac:dyDescent="0.25">
      <c r="A48" s="1">
        <v>44986</v>
      </c>
      <c r="B48" t="s">
        <v>15</v>
      </c>
      <c r="C48" t="s">
        <v>21</v>
      </c>
      <c r="D48" t="s">
        <v>14</v>
      </c>
      <c r="E48">
        <v>37</v>
      </c>
      <c r="F48">
        <v>8</v>
      </c>
      <c r="G48">
        <v>396</v>
      </c>
      <c r="H48">
        <v>15</v>
      </c>
      <c r="I48" t="s">
        <v>16</v>
      </c>
      <c r="J48" s="3">
        <v>2692.7999999999997</v>
      </c>
      <c r="K48" t="str">
        <f t="shared" si="0"/>
        <v>Adult</v>
      </c>
    </row>
    <row r="49" spans="1:11" x14ac:dyDescent="0.25">
      <c r="A49" s="1">
        <v>44940</v>
      </c>
      <c r="B49" t="s">
        <v>20</v>
      </c>
      <c r="C49" t="s">
        <v>18</v>
      </c>
      <c r="D49" t="s">
        <v>14</v>
      </c>
      <c r="E49">
        <v>28</v>
      </c>
      <c r="F49">
        <v>2</v>
      </c>
      <c r="G49">
        <v>714</v>
      </c>
      <c r="H49">
        <v>10</v>
      </c>
      <c r="I49" t="s">
        <v>19</v>
      </c>
      <c r="J49" s="3">
        <v>1285.2</v>
      </c>
      <c r="K49" t="str">
        <f t="shared" si="0"/>
        <v>Young Adult</v>
      </c>
    </row>
    <row r="50" spans="1:11" x14ac:dyDescent="0.25">
      <c r="A50" s="1">
        <v>44935</v>
      </c>
      <c r="B50" t="s">
        <v>17</v>
      </c>
      <c r="C50" t="s">
        <v>22</v>
      </c>
      <c r="D50" t="s">
        <v>14</v>
      </c>
      <c r="E50">
        <v>27</v>
      </c>
      <c r="F50">
        <v>7</v>
      </c>
      <c r="G50">
        <v>88</v>
      </c>
      <c r="H50">
        <v>10</v>
      </c>
      <c r="I50" t="s">
        <v>16</v>
      </c>
      <c r="J50" s="3">
        <v>554.4</v>
      </c>
      <c r="K50" t="str">
        <f t="shared" si="0"/>
        <v>Young Adult</v>
      </c>
    </row>
    <row r="51" spans="1:11" x14ac:dyDescent="0.25">
      <c r="A51" s="1">
        <v>45016</v>
      </c>
      <c r="B51" t="s">
        <v>15</v>
      </c>
      <c r="C51" t="s">
        <v>21</v>
      </c>
      <c r="D51" t="s">
        <v>14</v>
      </c>
      <c r="E51">
        <v>57</v>
      </c>
      <c r="F51">
        <v>2</v>
      </c>
      <c r="G51">
        <v>853</v>
      </c>
      <c r="H51">
        <v>20</v>
      </c>
      <c r="I51" t="s">
        <v>19</v>
      </c>
      <c r="J51" s="3">
        <v>1364.8000000000002</v>
      </c>
      <c r="K51" t="str">
        <f t="shared" si="0"/>
        <v>Senior</v>
      </c>
    </row>
    <row r="52" spans="1:11" x14ac:dyDescent="0.25">
      <c r="A52" s="1">
        <v>44979</v>
      </c>
      <c r="B52" t="s">
        <v>15</v>
      </c>
      <c r="C52" t="s">
        <v>22</v>
      </c>
      <c r="D52" t="s">
        <v>12</v>
      </c>
      <c r="E52">
        <v>55</v>
      </c>
      <c r="F52">
        <v>4</v>
      </c>
      <c r="G52">
        <v>1176</v>
      </c>
      <c r="H52">
        <v>20</v>
      </c>
      <c r="I52" t="s">
        <v>13</v>
      </c>
      <c r="J52" s="3">
        <v>3763.2000000000003</v>
      </c>
      <c r="K52" t="str">
        <f t="shared" si="0"/>
        <v>Senior</v>
      </c>
    </row>
    <row r="53" spans="1:11" x14ac:dyDescent="0.25">
      <c r="A53" s="1">
        <v>45056</v>
      </c>
      <c r="B53" t="s">
        <v>20</v>
      </c>
      <c r="C53" t="s">
        <v>22</v>
      </c>
      <c r="D53" t="s">
        <v>14</v>
      </c>
      <c r="E53">
        <v>23</v>
      </c>
      <c r="F53">
        <v>7</v>
      </c>
      <c r="G53">
        <v>1462</v>
      </c>
      <c r="H53">
        <v>10</v>
      </c>
      <c r="I53" t="s">
        <v>19</v>
      </c>
      <c r="J53" s="3">
        <v>9210.6</v>
      </c>
      <c r="K53" t="str">
        <f t="shared" si="0"/>
        <v>Youth</v>
      </c>
    </row>
    <row r="54" spans="1:11" x14ac:dyDescent="0.25">
      <c r="A54" s="1">
        <v>45010</v>
      </c>
      <c r="B54" t="s">
        <v>17</v>
      </c>
      <c r="C54" t="s">
        <v>18</v>
      </c>
      <c r="D54" t="s">
        <v>14</v>
      </c>
      <c r="E54">
        <v>25</v>
      </c>
      <c r="F54">
        <v>3</v>
      </c>
      <c r="G54">
        <v>302</v>
      </c>
      <c r="H54">
        <v>20</v>
      </c>
      <c r="I54" t="s">
        <v>19</v>
      </c>
      <c r="J54" s="3">
        <v>724.80000000000007</v>
      </c>
      <c r="K54" t="str">
        <f t="shared" si="0"/>
        <v>Young Adult</v>
      </c>
    </row>
    <row r="55" spans="1:11" x14ac:dyDescent="0.25">
      <c r="A55" s="1">
        <v>45018</v>
      </c>
      <c r="B55" t="s">
        <v>15</v>
      </c>
      <c r="C55" t="s">
        <v>11</v>
      </c>
      <c r="D55" t="s">
        <v>14</v>
      </c>
      <c r="E55">
        <v>40</v>
      </c>
      <c r="F55">
        <v>2</v>
      </c>
      <c r="G55">
        <v>632</v>
      </c>
      <c r="H55">
        <v>15</v>
      </c>
      <c r="I55" t="s">
        <v>13</v>
      </c>
      <c r="J55" s="3">
        <v>1074.3999999999999</v>
      </c>
      <c r="K55" t="str">
        <f t="shared" si="0"/>
        <v>Adult</v>
      </c>
    </row>
    <row r="56" spans="1:11" x14ac:dyDescent="0.25">
      <c r="A56" s="1">
        <v>45037</v>
      </c>
      <c r="B56" t="s">
        <v>20</v>
      </c>
      <c r="C56" t="s">
        <v>23</v>
      </c>
      <c r="D56" t="s">
        <v>12</v>
      </c>
      <c r="E56">
        <v>43</v>
      </c>
      <c r="F56">
        <v>7</v>
      </c>
      <c r="G56">
        <v>1473</v>
      </c>
      <c r="H56">
        <v>0</v>
      </c>
      <c r="I56" t="s">
        <v>16</v>
      </c>
      <c r="J56" s="3">
        <v>10311</v>
      </c>
      <c r="K56" t="str">
        <f t="shared" si="0"/>
        <v>Adult</v>
      </c>
    </row>
    <row r="57" spans="1:11" x14ac:dyDescent="0.25">
      <c r="A57" s="1">
        <v>45098</v>
      </c>
      <c r="B57" t="s">
        <v>17</v>
      </c>
      <c r="C57" t="s">
        <v>23</v>
      </c>
      <c r="D57" t="s">
        <v>14</v>
      </c>
      <c r="E57">
        <v>29</v>
      </c>
      <c r="F57">
        <v>1</v>
      </c>
      <c r="G57">
        <v>795</v>
      </c>
      <c r="H57">
        <v>15</v>
      </c>
      <c r="I57" t="s">
        <v>19</v>
      </c>
      <c r="J57" s="3">
        <v>675.75</v>
      </c>
      <c r="K57" t="str">
        <f t="shared" si="0"/>
        <v>Young Adult</v>
      </c>
    </row>
    <row r="58" spans="1:11" x14ac:dyDescent="0.25">
      <c r="A58" s="1">
        <v>44934</v>
      </c>
      <c r="B58" t="s">
        <v>20</v>
      </c>
      <c r="C58" t="s">
        <v>18</v>
      </c>
      <c r="D58" t="s">
        <v>14</v>
      </c>
      <c r="E58">
        <v>43</v>
      </c>
      <c r="F58">
        <v>8</v>
      </c>
      <c r="G58">
        <v>1367</v>
      </c>
      <c r="H58">
        <v>10</v>
      </c>
      <c r="I58" t="s">
        <v>19</v>
      </c>
      <c r="J58" s="3">
        <v>9842.4</v>
      </c>
      <c r="K58" t="str">
        <f t="shared" si="0"/>
        <v>Adult</v>
      </c>
    </row>
    <row r="59" spans="1:11" x14ac:dyDescent="0.25">
      <c r="A59" s="1">
        <v>45101</v>
      </c>
      <c r="B59" t="s">
        <v>10</v>
      </c>
      <c r="C59" t="s">
        <v>22</v>
      </c>
      <c r="D59" t="s">
        <v>12</v>
      </c>
      <c r="E59">
        <v>30</v>
      </c>
      <c r="F59">
        <v>3</v>
      </c>
      <c r="G59">
        <v>1421</v>
      </c>
      <c r="H59">
        <v>10</v>
      </c>
      <c r="I59" t="s">
        <v>13</v>
      </c>
      <c r="J59" s="3">
        <v>3836.7000000000003</v>
      </c>
      <c r="K59" t="str">
        <f t="shared" si="0"/>
        <v>Young Adult</v>
      </c>
    </row>
    <row r="60" spans="1:11" x14ac:dyDescent="0.25">
      <c r="A60" s="1">
        <v>44961</v>
      </c>
      <c r="B60" t="s">
        <v>15</v>
      </c>
      <c r="C60" t="s">
        <v>21</v>
      </c>
      <c r="D60" t="s">
        <v>14</v>
      </c>
      <c r="E60">
        <v>57</v>
      </c>
      <c r="F60">
        <v>2</v>
      </c>
      <c r="G60">
        <v>1187</v>
      </c>
      <c r="H60">
        <v>15</v>
      </c>
      <c r="I60" t="s">
        <v>16</v>
      </c>
      <c r="J60" s="3">
        <v>2017.8999999999999</v>
      </c>
      <c r="K60" t="str">
        <f t="shared" si="0"/>
        <v>Senior</v>
      </c>
    </row>
    <row r="61" spans="1:11" x14ac:dyDescent="0.25">
      <c r="A61" s="1">
        <v>45007</v>
      </c>
      <c r="B61" t="s">
        <v>10</v>
      </c>
      <c r="C61" t="s">
        <v>22</v>
      </c>
      <c r="D61" t="s">
        <v>12</v>
      </c>
      <c r="E61">
        <v>35</v>
      </c>
      <c r="F61">
        <v>3</v>
      </c>
      <c r="G61">
        <v>1421</v>
      </c>
      <c r="H61">
        <v>20</v>
      </c>
      <c r="I61" t="s">
        <v>19</v>
      </c>
      <c r="J61" s="3">
        <v>3410.4</v>
      </c>
      <c r="K61" t="str">
        <f t="shared" si="0"/>
        <v>Adult</v>
      </c>
    </row>
    <row r="62" spans="1:11" x14ac:dyDescent="0.25">
      <c r="A62" s="1">
        <v>45090</v>
      </c>
      <c r="B62" t="s">
        <v>17</v>
      </c>
      <c r="C62" t="s">
        <v>18</v>
      </c>
      <c r="D62" t="s">
        <v>12</v>
      </c>
      <c r="E62">
        <v>42</v>
      </c>
      <c r="F62">
        <v>5</v>
      </c>
      <c r="G62">
        <v>190</v>
      </c>
      <c r="H62">
        <v>20</v>
      </c>
      <c r="I62" t="s">
        <v>13</v>
      </c>
      <c r="J62" s="3">
        <v>760</v>
      </c>
      <c r="K62" t="str">
        <f t="shared" si="0"/>
        <v>Adult</v>
      </c>
    </row>
    <row r="63" spans="1:11" x14ac:dyDescent="0.25">
      <c r="A63" s="1">
        <v>44976</v>
      </c>
      <c r="B63" t="s">
        <v>10</v>
      </c>
      <c r="C63" t="s">
        <v>23</v>
      </c>
      <c r="D63" t="s">
        <v>12</v>
      </c>
      <c r="E63">
        <v>50</v>
      </c>
      <c r="F63">
        <v>8</v>
      </c>
      <c r="G63">
        <v>330</v>
      </c>
      <c r="H63">
        <v>10</v>
      </c>
      <c r="I63" t="s">
        <v>19</v>
      </c>
      <c r="J63" s="3">
        <v>2376</v>
      </c>
      <c r="K63" t="str">
        <f t="shared" si="0"/>
        <v>Senior</v>
      </c>
    </row>
    <row r="64" spans="1:11" x14ac:dyDescent="0.25">
      <c r="A64" s="1">
        <v>45030</v>
      </c>
      <c r="B64" t="s">
        <v>10</v>
      </c>
      <c r="C64" t="s">
        <v>22</v>
      </c>
      <c r="D64" t="s">
        <v>12</v>
      </c>
      <c r="E64">
        <v>57</v>
      </c>
      <c r="F64">
        <v>7</v>
      </c>
      <c r="G64">
        <v>462</v>
      </c>
      <c r="H64">
        <v>5</v>
      </c>
      <c r="I64" t="s">
        <v>13</v>
      </c>
      <c r="J64" s="3">
        <v>3072.2999999999997</v>
      </c>
      <c r="K64" t="str">
        <f t="shared" si="0"/>
        <v>Senior</v>
      </c>
    </row>
    <row r="65" spans="1:11" x14ac:dyDescent="0.25">
      <c r="A65" s="1">
        <v>45058</v>
      </c>
      <c r="B65" t="s">
        <v>17</v>
      </c>
      <c r="C65" t="s">
        <v>23</v>
      </c>
      <c r="D65" t="s">
        <v>12</v>
      </c>
      <c r="E65">
        <v>29</v>
      </c>
      <c r="F65">
        <v>7</v>
      </c>
      <c r="G65">
        <v>86</v>
      </c>
      <c r="H65">
        <v>20</v>
      </c>
      <c r="I65" t="s">
        <v>16</v>
      </c>
      <c r="J65" s="3">
        <v>481.6</v>
      </c>
      <c r="K65" t="str">
        <f t="shared" si="0"/>
        <v>Young Adult</v>
      </c>
    </row>
    <row r="66" spans="1:11" x14ac:dyDescent="0.25">
      <c r="A66" s="1">
        <v>44928</v>
      </c>
      <c r="B66" t="s">
        <v>20</v>
      </c>
      <c r="C66" t="s">
        <v>21</v>
      </c>
      <c r="D66" t="s">
        <v>14</v>
      </c>
      <c r="E66">
        <v>53</v>
      </c>
      <c r="F66">
        <v>7</v>
      </c>
      <c r="G66">
        <v>538</v>
      </c>
      <c r="H66">
        <v>15</v>
      </c>
      <c r="I66" t="s">
        <v>16</v>
      </c>
      <c r="J66" s="3">
        <v>3201.1</v>
      </c>
      <c r="K66" t="str">
        <f t="shared" si="0"/>
        <v>Senior</v>
      </c>
    </row>
    <row r="67" spans="1:11" x14ac:dyDescent="0.25">
      <c r="A67" s="1">
        <v>45060</v>
      </c>
      <c r="B67" t="s">
        <v>10</v>
      </c>
      <c r="C67" t="s">
        <v>23</v>
      </c>
      <c r="D67" t="s">
        <v>12</v>
      </c>
      <c r="E67">
        <v>21</v>
      </c>
      <c r="F67">
        <v>8</v>
      </c>
      <c r="G67">
        <v>1187</v>
      </c>
      <c r="H67">
        <v>20</v>
      </c>
      <c r="I67" t="s">
        <v>16</v>
      </c>
      <c r="J67" s="3">
        <v>7596.8</v>
      </c>
      <c r="K67" t="str">
        <f t="shared" ref="K67:K130" si="1">IF(AND(E67&lt;=24,E67&gt;=15),"Youth",IF(AND(E67&lt;=34,E67&gt;=25),"Young Adult",IF(AND(E67&gt;=35,E67&lt;=49),"Adult","Senior")))</f>
        <v>Youth</v>
      </c>
    </row>
    <row r="68" spans="1:11" x14ac:dyDescent="0.25">
      <c r="A68" s="1">
        <v>44980</v>
      </c>
      <c r="B68" t="s">
        <v>20</v>
      </c>
      <c r="C68" t="s">
        <v>23</v>
      </c>
      <c r="D68" t="s">
        <v>12</v>
      </c>
      <c r="E68">
        <v>22</v>
      </c>
      <c r="F68">
        <v>1</v>
      </c>
      <c r="G68">
        <v>287</v>
      </c>
      <c r="H68">
        <v>15</v>
      </c>
      <c r="I68" t="s">
        <v>16</v>
      </c>
      <c r="J68" s="3">
        <v>243.95</v>
      </c>
      <c r="K68" t="str">
        <f t="shared" si="1"/>
        <v>Youth</v>
      </c>
    </row>
    <row r="69" spans="1:11" x14ac:dyDescent="0.25">
      <c r="A69" s="1">
        <v>45032</v>
      </c>
      <c r="B69" t="s">
        <v>10</v>
      </c>
      <c r="C69" t="s">
        <v>11</v>
      </c>
      <c r="D69" t="s">
        <v>14</v>
      </c>
      <c r="E69">
        <v>54</v>
      </c>
      <c r="F69">
        <v>4</v>
      </c>
      <c r="G69">
        <v>979</v>
      </c>
      <c r="H69">
        <v>10</v>
      </c>
      <c r="I69" t="s">
        <v>19</v>
      </c>
      <c r="J69" s="3">
        <v>3524.4</v>
      </c>
      <c r="K69" t="str">
        <f t="shared" si="1"/>
        <v>Senior</v>
      </c>
    </row>
    <row r="70" spans="1:11" x14ac:dyDescent="0.25">
      <c r="A70" s="1">
        <v>44930</v>
      </c>
      <c r="B70" t="s">
        <v>20</v>
      </c>
      <c r="C70" t="s">
        <v>11</v>
      </c>
      <c r="D70" t="s">
        <v>12</v>
      </c>
      <c r="E70">
        <v>25</v>
      </c>
      <c r="F70">
        <v>6</v>
      </c>
      <c r="G70">
        <v>1493</v>
      </c>
      <c r="H70">
        <v>20</v>
      </c>
      <c r="I70" t="s">
        <v>19</v>
      </c>
      <c r="J70" s="3">
        <v>7166.4000000000005</v>
      </c>
      <c r="K70" t="str">
        <f t="shared" si="1"/>
        <v>Young Adult</v>
      </c>
    </row>
    <row r="71" spans="1:11" x14ac:dyDescent="0.25">
      <c r="A71" s="1">
        <v>44980</v>
      </c>
      <c r="B71" t="s">
        <v>17</v>
      </c>
      <c r="C71" t="s">
        <v>11</v>
      </c>
      <c r="D71" t="s">
        <v>14</v>
      </c>
      <c r="E71">
        <v>59</v>
      </c>
      <c r="F71">
        <v>9</v>
      </c>
      <c r="G71">
        <v>1417</v>
      </c>
      <c r="H71">
        <v>15</v>
      </c>
      <c r="I71" t="s">
        <v>16</v>
      </c>
      <c r="J71" s="3">
        <v>10840.05</v>
      </c>
      <c r="K71" t="str">
        <f t="shared" si="1"/>
        <v>Senior</v>
      </c>
    </row>
    <row r="72" spans="1:11" x14ac:dyDescent="0.25">
      <c r="A72" s="1">
        <v>45072</v>
      </c>
      <c r="B72" t="s">
        <v>10</v>
      </c>
      <c r="C72" t="s">
        <v>23</v>
      </c>
      <c r="D72" t="s">
        <v>14</v>
      </c>
      <c r="E72">
        <v>45</v>
      </c>
      <c r="F72">
        <v>2</v>
      </c>
      <c r="G72">
        <v>101</v>
      </c>
      <c r="H72">
        <v>10</v>
      </c>
      <c r="I72" t="s">
        <v>16</v>
      </c>
      <c r="J72" s="3">
        <v>181.8</v>
      </c>
      <c r="K72" t="str">
        <f t="shared" si="1"/>
        <v>Adult</v>
      </c>
    </row>
    <row r="73" spans="1:11" x14ac:dyDescent="0.25">
      <c r="A73" s="1">
        <v>44970</v>
      </c>
      <c r="B73" t="s">
        <v>17</v>
      </c>
      <c r="C73" t="s">
        <v>18</v>
      </c>
      <c r="D73" t="s">
        <v>14</v>
      </c>
      <c r="E73">
        <v>48</v>
      </c>
      <c r="F73">
        <v>1</v>
      </c>
      <c r="G73">
        <v>489</v>
      </c>
      <c r="H73">
        <v>5</v>
      </c>
      <c r="I73" t="s">
        <v>16</v>
      </c>
      <c r="J73" s="3">
        <v>464.54999999999995</v>
      </c>
      <c r="K73" t="str">
        <f t="shared" si="1"/>
        <v>Adult</v>
      </c>
    </row>
    <row r="74" spans="1:11" x14ac:dyDescent="0.25">
      <c r="A74" s="1">
        <v>45088</v>
      </c>
      <c r="B74" t="s">
        <v>10</v>
      </c>
      <c r="C74" t="s">
        <v>23</v>
      </c>
      <c r="D74" t="s">
        <v>12</v>
      </c>
      <c r="E74">
        <v>26</v>
      </c>
      <c r="F74">
        <v>2</v>
      </c>
      <c r="G74">
        <v>974</v>
      </c>
      <c r="H74">
        <v>15</v>
      </c>
      <c r="I74" t="s">
        <v>19</v>
      </c>
      <c r="J74" s="3">
        <v>1655.8</v>
      </c>
      <c r="K74" t="str">
        <f t="shared" si="1"/>
        <v>Young Adult</v>
      </c>
    </row>
    <row r="75" spans="1:11" x14ac:dyDescent="0.25">
      <c r="A75" s="1">
        <v>44940</v>
      </c>
      <c r="B75" t="s">
        <v>17</v>
      </c>
      <c r="C75" t="s">
        <v>18</v>
      </c>
      <c r="D75" t="s">
        <v>12</v>
      </c>
      <c r="E75">
        <v>46</v>
      </c>
      <c r="F75">
        <v>7</v>
      </c>
      <c r="G75">
        <v>594</v>
      </c>
      <c r="H75">
        <v>5</v>
      </c>
      <c r="I75" t="s">
        <v>16</v>
      </c>
      <c r="J75" s="3">
        <v>3950.1</v>
      </c>
      <c r="K75" t="str">
        <f t="shared" si="1"/>
        <v>Adult</v>
      </c>
    </row>
    <row r="76" spans="1:11" x14ac:dyDescent="0.25">
      <c r="A76" s="1">
        <v>45021</v>
      </c>
      <c r="B76" t="s">
        <v>17</v>
      </c>
      <c r="C76" t="s">
        <v>18</v>
      </c>
      <c r="D76" t="s">
        <v>12</v>
      </c>
      <c r="E76">
        <v>31</v>
      </c>
      <c r="F76">
        <v>3</v>
      </c>
      <c r="G76">
        <v>1230</v>
      </c>
      <c r="H76">
        <v>5</v>
      </c>
      <c r="I76" t="s">
        <v>16</v>
      </c>
      <c r="J76" s="3">
        <v>3505.5</v>
      </c>
      <c r="K76" t="str">
        <f t="shared" si="1"/>
        <v>Young Adult</v>
      </c>
    </row>
    <row r="77" spans="1:11" x14ac:dyDescent="0.25">
      <c r="A77" s="1">
        <v>44974</v>
      </c>
      <c r="B77" t="s">
        <v>10</v>
      </c>
      <c r="C77" t="s">
        <v>11</v>
      </c>
      <c r="D77" t="s">
        <v>14</v>
      </c>
      <c r="E77">
        <v>57</v>
      </c>
      <c r="F77">
        <v>2</v>
      </c>
      <c r="G77">
        <v>888</v>
      </c>
      <c r="H77">
        <v>0</v>
      </c>
      <c r="I77" t="s">
        <v>16</v>
      </c>
      <c r="J77" s="3">
        <v>1776</v>
      </c>
      <c r="K77" t="str">
        <f t="shared" si="1"/>
        <v>Senior</v>
      </c>
    </row>
    <row r="78" spans="1:11" x14ac:dyDescent="0.25">
      <c r="A78" s="1">
        <v>44941</v>
      </c>
      <c r="B78" t="s">
        <v>10</v>
      </c>
      <c r="C78" t="s">
        <v>22</v>
      </c>
      <c r="D78" t="s">
        <v>12</v>
      </c>
      <c r="E78">
        <v>58</v>
      </c>
      <c r="F78">
        <v>7</v>
      </c>
      <c r="G78">
        <v>953</v>
      </c>
      <c r="H78">
        <v>20</v>
      </c>
      <c r="I78" t="s">
        <v>13</v>
      </c>
      <c r="J78" s="3">
        <v>5336.8</v>
      </c>
      <c r="K78" t="str">
        <f t="shared" si="1"/>
        <v>Senior</v>
      </c>
    </row>
    <row r="79" spans="1:11" x14ac:dyDescent="0.25">
      <c r="A79" s="1">
        <v>44966</v>
      </c>
      <c r="B79" t="s">
        <v>10</v>
      </c>
      <c r="C79" t="s">
        <v>21</v>
      </c>
      <c r="D79" t="s">
        <v>12</v>
      </c>
      <c r="E79">
        <v>39</v>
      </c>
      <c r="F79">
        <v>2</v>
      </c>
      <c r="G79">
        <v>93</v>
      </c>
      <c r="H79">
        <v>15</v>
      </c>
      <c r="I79" t="s">
        <v>16</v>
      </c>
      <c r="J79" s="3">
        <v>158.1</v>
      </c>
      <c r="K79" t="str">
        <f t="shared" si="1"/>
        <v>Adult</v>
      </c>
    </row>
    <row r="80" spans="1:11" x14ac:dyDescent="0.25">
      <c r="A80" s="1">
        <v>45008</v>
      </c>
      <c r="B80" t="s">
        <v>15</v>
      </c>
      <c r="C80" t="s">
        <v>11</v>
      </c>
      <c r="D80" t="s">
        <v>12</v>
      </c>
      <c r="E80">
        <v>28</v>
      </c>
      <c r="F80">
        <v>3</v>
      </c>
      <c r="G80">
        <v>1050</v>
      </c>
      <c r="H80">
        <v>5</v>
      </c>
      <c r="I80" t="s">
        <v>13</v>
      </c>
      <c r="J80" s="3">
        <v>2992.5</v>
      </c>
      <c r="K80" t="str">
        <f t="shared" si="1"/>
        <v>Young Adult</v>
      </c>
    </row>
    <row r="81" spans="1:11" x14ac:dyDescent="0.25">
      <c r="A81" s="1">
        <v>45037</v>
      </c>
      <c r="B81" t="s">
        <v>20</v>
      </c>
      <c r="C81" t="s">
        <v>11</v>
      </c>
      <c r="D81" t="s">
        <v>14</v>
      </c>
      <c r="E81">
        <v>40</v>
      </c>
      <c r="F81">
        <v>7</v>
      </c>
      <c r="G81">
        <v>1057</v>
      </c>
      <c r="H81">
        <v>0</v>
      </c>
      <c r="I81" t="s">
        <v>13</v>
      </c>
      <c r="J81" s="3">
        <v>7399</v>
      </c>
      <c r="K81" t="str">
        <f t="shared" si="1"/>
        <v>Adult</v>
      </c>
    </row>
    <row r="82" spans="1:11" x14ac:dyDescent="0.25">
      <c r="A82" s="1">
        <v>44979</v>
      </c>
      <c r="B82" t="s">
        <v>15</v>
      </c>
      <c r="C82" t="s">
        <v>22</v>
      </c>
      <c r="D82" t="s">
        <v>14</v>
      </c>
      <c r="E82">
        <v>18</v>
      </c>
      <c r="F82">
        <v>4</v>
      </c>
      <c r="G82">
        <v>1093</v>
      </c>
      <c r="H82">
        <v>10</v>
      </c>
      <c r="I82" t="s">
        <v>16</v>
      </c>
      <c r="J82" s="3">
        <v>3934.8</v>
      </c>
      <c r="K82" t="str">
        <f t="shared" si="1"/>
        <v>Youth</v>
      </c>
    </row>
    <row r="83" spans="1:11" x14ac:dyDescent="0.25">
      <c r="A83" s="1">
        <v>44950</v>
      </c>
      <c r="B83" t="s">
        <v>15</v>
      </c>
      <c r="C83" t="s">
        <v>21</v>
      </c>
      <c r="D83" t="s">
        <v>12</v>
      </c>
      <c r="E83">
        <v>54</v>
      </c>
      <c r="F83">
        <v>1</v>
      </c>
      <c r="G83">
        <v>1115</v>
      </c>
      <c r="H83">
        <v>15</v>
      </c>
      <c r="I83" t="s">
        <v>13</v>
      </c>
      <c r="J83" s="3">
        <v>947.75</v>
      </c>
      <c r="K83" t="str">
        <f t="shared" si="1"/>
        <v>Senior</v>
      </c>
    </row>
    <row r="84" spans="1:11" x14ac:dyDescent="0.25">
      <c r="A84" s="1">
        <v>45080</v>
      </c>
      <c r="B84" t="s">
        <v>17</v>
      </c>
      <c r="C84" t="s">
        <v>23</v>
      </c>
      <c r="D84" t="s">
        <v>12</v>
      </c>
      <c r="E84">
        <v>38</v>
      </c>
      <c r="F84">
        <v>5</v>
      </c>
      <c r="G84">
        <v>166</v>
      </c>
      <c r="H84">
        <v>5</v>
      </c>
      <c r="I84" t="s">
        <v>16</v>
      </c>
      <c r="J84" s="3">
        <v>788.5</v>
      </c>
      <c r="K84" t="str">
        <f t="shared" si="1"/>
        <v>Adult</v>
      </c>
    </row>
    <row r="85" spans="1:11" x14ac:dyDescent="0.25">
      <c r="A85" s="1">
        <v>45050</v>
      </c>
      <c r="B85" t="s">
        <v>10</v>
      </c>
      <c r="C85" t="s">
        <v>23</v>
      </c>
      <c r="D85" t="s">
        <v>12</v>
      </c>
      <c r="E85">
        <v>43</v>
      </c>
      <c r="F85">
        <v>9</v>
      </c>
      <c r="G85">
        <v>988</v>
      </c>
      <c r="H85">
        <v>20</v>
      </c>
      <c r="I85" t="s">
        <v>19</v>
      </c>
      <c r="J85" s="3">
        <v>7113.6</v>
      </c>
      <c r="K85" t="str">
        <f t="shared" si="1"/>
        <v>Adult</v>
      </c>
    </row>
    <row r="86" spans="1:11" x14ac:dyDescent="0.25">
      <c r="A86" s="1">
        <v>44967</v>
      </c>
      <c r="B86" t="s">
        <v>20</v>
      </c>
      <c r="C86" t="s">
        <v>11</v>
      </c>
      <c r="D86" t="s">
        <v>12</v>
      </c>
      <c r="E86">
        <v>53</v>
      </c>
      <c r="F86">
        <v>8</v>
      </c>
      <c r="G86">
        <v>1404</v>
      </c>
      <c r="H86">
        <v>0</v>
      </c>
      <c r="I86" t="s">
        <v>19</v>
      </c>
      <c r="J86" s="3">
        <v>11232</v>
      </c>
      <c r="K86" t="str">
        <f t="shared" si="1"/>
        <v>Senior</v>
      </c>
    </row>
    <row r="87" spans="1:11" x14ac:dyDescent="0.25">
      <c r="A87" s="1">
        <v>45083</v>
      </c>
      <c r="B87" t="s">
        <v>17</v>
      </c>
      <c r="C87" t="s">
        <v>21</v>
      </c>
      <c r="D87" t="s">
        <v>14</v>
      </c>
      <c r="E87">
        <v>40</v>
      </c>
      <c r="F87">
        <v>9</v>
      </c>
      <c r="G87">
        <v>1346</v>
      </c>
      <c r="H87">
        <v>5</v>
      </c>
      <c r="I87" t="s">
        <v>19</v>
      </c>
      <c r="J87" s="3">
        <v>11508.3</v>
      </c>
      <c r="K87" t="str">
        <f t="shared" si="1"/>
        <v>Adult</v>
      </c>
    </row>
    <row r="88" spans="1:11" x14ac:dyDescent="0.25">
      <c r="A88" s="1">
        <v>44941</v>
      </c>
      <c r="B88" t="s">
        <v>15</v>
      </c>
      <c r="C88" t="s">
        <v>11</v>
      </c>
      <c r="D88" t="s">
        <v>14</v>
      </c>
      <c r="E88">
        <v>18</v>
      </c>
      <c r="F88">
        <v>9</v>
      </c>
      <c r="G88">
        <v>201</v>
      </c>
      <c r="H88">
        <v>20</v>
      </c>
      <c r="I88" t="s">
        <v>19</v>
      </c>
      <c r="J88" s="3">
        <v>1447.2</v>
      </c>
      <c r="K88" t="str">
        <f t="shared" si="1"/>
        <v>Youth</v>
      </c>
    </row>
    <row r="89" spans="1:11" x14ac:dyDescent="0.25">
      <c r="A89" s="1">
        <v>44971</v>
      </c>
      <c r="B89" t="s">
        <v>10</v>
      </c>
      <c r="C89" t="s">
        <v>18</v>
      </c>
      <c r="D89" t="s">
        <v>14</v>
      </c>
      <c r="E89">
        <v>57</v>
      </c>
      <c r="F89">
        <v>7</v>
      </c>
      <c r="G89">
        <v>1250</v>
      </c>
      <c r="H89">
        <v>5</v>
      </c>
      <c r="I89" t="s">
        <v>13</v>
      </c>
      <c r="J89" s="3">
        <v>8312.5</v>
      </c>
      <c r="K89" t="str">
        <f t="shared" si="1"/>
        <v>Senior</v>
      </c>
    </row>
    <row r="90" spans="1:11" x14ac:dyDescent="0.25">
      <c r="A90" s="1">
        <v>44991</v>
      </c>
      <c r="B90" t="s">
        <v>17</v>
      </c>
      <c r="C90" t="s">
        <v>11</v>
      </c>
      <c r="D90" t="s">
        <v>14</v>
      </c>
      <c r="E90">
        <v>32</v>
      </c>
      <c r="F90">
        <v>4</v>
      </c>
      <c r="G90">
        <v>829</v>
      </c>
      <c r="H90">
        <v>15</v>
      </c>
      <c r="I90" t="s">
        <v>16</v>
      </c>
      <c r="J90" s="3">
        <v>2818.6</v>
      </c>
      <c r="K90" t="str">
        <f t="shared" si="1"/>
        <v>Young Adult</v>
      </c>
    </row>
    <row r="91" spans="1:11" x14ac:dyDescent="0.25">
      <c r="A91" s="1">
        <v>45015</v>
      </c>
      <c r="B91" t="s">
        <v>10</v>
      </c>
      <c r="C91" t="s">
        <v>11</v>
      </c>
      <c r="D91" t="s">
        <v>12</v>
      </c>
      <c r="E91">
        <v>38</v>
      </c>
      <c r="F91">
        <v>5</v>
      </c>
      <c r="G91">
        <v>1459</v>
      </c>
      <c r="H91">
        <v>15</v>
      </c>
      <c r="I91" t="s">
        <v>16</v>
      </c>
      <c r="J91" s="3">
        <v>6200.75</v>
      </c>
      <c r="K91" t="str">
        <f t="shared" si="1"/>
        <v>Adult</v>
      </c>
    </row>
    <row r="92" spans="1:11" x14ac:dyDescent="0.25">
      <c r="A92" s="1">
        <v>44997</v>
      </c>
      <c r="B92" t="s">
        <v>17</v>
      </c>
      <c r="C92" t="s">
        <v>23</v>
      </c>
      <c r="D92" t="s">
        <v>12</v>
      </c>
      <c r="E92">
        <v>26</v>
      </c>
      <c r="F92">
        <v>1</v>
      </c>
      <c r="G92">
        <v>764</v>
      </c>
      <c r="H92">
        <v>15</v>
      </c>
      <c r="I92" t="s">
        <v>16</v>
      </c>
      <c r="J92" s="3">
        <v>649.4</v>
      </c>
      <c r="K92" t="str">
        <f t="shared" si="1"/>
        <v>Young Adult</v>
      </c>
    </row>
    <row r="93" spans="1:11" x14ac:dyDescent="0.25">
      <c r="A93" s="1">
        <v>44935</v>
      </c>
      <c r="B93" t="s">
        <v>10</v>
      </c>
      <c r="C93" t="s">
        <v>23</v>
      </c>
      <c r="D93" t="s">
        <v>12</v>
      </c>
      <c r="E93">
        <v>26</v>
      </c>
      <c r="F93">
        <v>1</v>
      </c>
      <c r="G93">
        <v>388</v>
      </c>
      <c r="H93">
        <v>0</v>
      </c>
      <c r="I93" t="s">
        <v>19</v>
      </c>
      <c r="J93" s="3">
        <v>388</v>
      </c>
      <c r="K93" t="str">
        <f t="shared" si="1"/>
        <v>Young Adult</v>
      </c>
    </row>
    <row r="94" spans="1:11" x14ac:dyDescent="0.25">
      <c r="A94" s="1">
        <v>45014</v>
      </c>
      <c r="B94" t="s">
        <v>15</v>
      </c>
      <c r="C94" t="s">
        <v>23</v>
      </c>
      <c r="D94" t="s">
        <v>14</v>
      </c>
      <c r="E94">
        <v>27</v>
      </c>
      <c r="F94">
        <v>3</v>
      </c>
      <c r="G94">
        <v>774</v>
      </c>
      <c r="H94">
        <v>15</v>
      </c>
      <c r="I94" t="s">
        <v>19</v>
      </c>
      <c r="J94" s="3">
        <v>1973.7</v>
      </c>
      <c r="K94" t="str">
        <f t="shared" si="1"/>
        <v>Young Adult</v>
      </c>
    </row>
    <row r="95" spans="1:11" x14ac:dyDescent="0.25">
      <c r="A95" s="1">
        <v>45055</v>
      </c>
      <c r="B95" t="s">
        <v>20</v>
      </c>
      <c r="C95" t="s">
        <v>18</v>
      </c>
      <c r="D95" t="s">
        <v>12</v>
      </c>
      <c r="E95">
        <v>43</v>
      </c>
      <c r="F95">
        <v>8</v>
      </c>
      <c r="G95">
        <v>367</v>
      </c>
      <c r="H95">
        <v>20</v>
      </c>
      <c r="I95" t="s">
        <v>16</v>
      </c>
      <c r="J95" s="3">
        <v>2348.8000000000002</v>
      </c>
      <c r="K95" t="str">
        <f t="shared" si="1"/>
        <v>Adult</v>
      </c>
    </row>
    <row r="96" spans="1:11" x14ac:dyDescent="0.25">
      <c r="A96" s="1">
        <v>45062</v>
      </c>
      <c r="B96" t="s">
        <v>15</v>
      </c>
      <c r="C96" t="s">
        <v>23</v>
      </c>
      <c r="D96" t="s">
        <v>14</v>
      </c>
      <c r="E96">
        <v>58</v>
      </c>
      <c r="F96">
        <v>2</v>
      </c>
      <c r="G96">
        <v>386</v>
      </c>
      <c r="H96">
        <v>5</v>
      </c>
      <c r="I96" t="s">
        <v>19</v>
      </c>
      <c r="J96" s="3">
        <v>733.4</v>
      </c>
      <c r="K96" t="str">
        <f t="shared" si="1"/>
        <v>Senior</v>
      </c>
    </row>
    <row r="97" spans="1:11" x14ac:dyDescent="0.25">
      <c r="A97" s="1">
        <v>44989</v>
      </c>
      <c r="B97" t="s">
        <v>20</v>
      </c>
      <c r="C97" t="s">
        <v>21</v>
      </c>
      <c r="D97" t="s">
        <v>14</v>
      </c>
      <c r="E97">
        <v>52</v>
      </c>
      <c r="F97">
        <v>4</v>
      </c>
      <c r="G97">
        <v>993</v>
      </c>
      <c r="H97">
        <v>10</v>
      </c>
      <c r="I97" t="s">
        <v>16</v>
      </c>
      <c r="J97" s="3">
        <v>3574.8</v>
      </c>
      <c r="K97" t="str">
        <f t="shared" si="1"/>
        <v>Senior</v>
      </c>
    </row>
    <row r="98" spans="1:11" x14ac:dyDescent="0.25">
      <c r="A98" s="1">
        <v>45065</v>
      </c>
      <c r="B98" t="s">
        <v>10</v>
      </c>
      <c r="C98" t="s">
        <v>22</v>
      </c>
      <c r="D98" t="s">
        <v>12</v>
      </c>
      <c r="E98">
        <v>42</v>
      </c>
      <c r="F98">
        <v>2</v>
      </c>
      <c r="G98">
        <v>741</v>
      </c>
      <c r="H98">
        <v>20</v>
      </c>
      <c r="I98" t="s">
        <v>16</v>
      </c>
      <c r="J98" s="3">
        <v>1185.6000000000001</v>
      </c>
      <c r="K98" t="str">
        <f t="shared" si="1"/>
        <v>Adult</v>
      </c>
    </row>
    <row r="99" spans="1:11" x14ac:dyDescent="0.25">
      <c r="A99" s="1">
        <v>45007</v>
      </c>
      <c r="B99" t="s">
        <v>17</v>
      </c>
      <c r="C99" t="s">
        <v>21</v>
      </c>
      <c r="D99" t="s">
        <v>12</v>
      </c>
      <c r="E99">
        <v>43</v>
      </c>
      <c r="F99">
        <v>5</v>
      </c>
      <c r="G99">
        <v>628</v>
      </c>
      <c r="H99">
        <v>20</v>
      </c>
      <c r="I99" t="s">
        <v>16</v>
      </c>
      <c r="J99" s="3">
        <v>2512</v>
      </c>
      <c r="K99" t="str">
        <f t="shared" si="1"/>
        <v>Adult</v>
      </c>
    </row>
    <row r="100" spans="1:11" x14ac:dyDescent="0.25">
      <c r="A100" s="1">
        <v>45062</v>
      </c>
      <c r="B100" t="s">
        <v>15</v>
      </c>
      <c r="C100" t="s">
        <v>21</v>
      </c>
      <c r="D100" t="s">
        <v>12</v>
      </c>
      <c r="E100">
        <v>28</v>
      </c>
      <c r="F100">
        <v>9</v>
      </c>
      <c r="G100">
        <v>1455</v>
      </c>
      <c r="H100">
        <v>15</v>
      </c>
      <c r="I100" t="s">
        <v>16</v>
      </c>
      <c r="J100" s="3">
        <v>11130.75</v>
      </c>
      <c r="K100" t="str">
        <f t="shared" si="1"/>
        <v>Young Adult</v>
      </c>
    </row>
    <row r="101" spans="1:11" x14ac:dyDescent="0.25">
      <c r="A101" s="1">
        <v>45089</v>
      </c>
      <c r="B101" t="s">
        <v>20</v>
      </c>
      <c r="C101" t="s">
        <v>23</v>
      </c>
      <c r="D101" t="s">
        <v>14</v>
      </c>
      <c r="E101">
        <v>55</v>
      </c>
      <c r="F101">
        <v>1</v>
      </c>
      <c r="G101">
        <v>391</v>
      </c>
      <c r="H101">
        <v>0</v>
      </c>
      <c r="I101" t="s">
        <v>16</v>
      </c>
      <c r="J101" s="3">
        <v>391</v>
      </c>
      <c r="K101" t="str">
        <f t="shared" si="1"/>
        <v>Senior</v>
      </c>
    </row>
    <row r="102" spans="1:11" x14ac:dyDescent="0.25">
      <c r="A102" s="1">
        <v>45089</v>
      </c>
      <c r="B102" t="s">
        <v>15</v>
      </c>
      <c r="C102" t="s">
        <v>22</v>
      </c>
      <c r="D102" t="s">
        <v>12</v>
      </c>
      <c r="E102">
        <v>19</v>
      </c>
      <c r="F102">
        <v>5</v>
      </c>
      <c r="G102">
        <v>952</v>
      </c>
      <c r="H102">
        <v>5</v>
      </c>
      <c r="I102" t="s">
        <v>16</v>
      </c>
      <c r="J102" s="3">
        <v>4522</v>
      </c>
      <c r="K102" t="str">
        <f t="shared" si="1"/>
        <v>Youth</v>
      </c>
    </row>
    <row r="103" spans="1:11" x14ac:dyDescent="0.25">
      <c r="A103" s="1">
        <v>44959</v>
      </c>
      <c r="B103" t="s">
        <v>20</v>
      </c>
      <c r="C103" t="s">
        <v>22</v>
      </c>
      <c r="D103" t="s">
        <v>14</v>
      </c>
      <c r="E103">
        <v>24</v>
      </c>
      <c r="F103">
        <v>9</v>
      </c>
      <c r="G103">
        <v>1162</v>
      </c>
      <c r="H103">
        <v>0</v>
      </c>
      <c r="I103" t="s">
        <v>16</v>
      </c>
      <c r="J103" s="3">
        <v>10458</v>
      </c>
      <c r="K103" t="str">
        <f t="shared" si="1"/>
        <v>Youth</v>
      </c>
    </row>
    <row r="104" spans="1:11" x14ac:dyDescent="0.25">
      <c r="A104" s="1">
        <v>45049</v>
      </c>
      <c r="B104" t="s">
        <v>15</v>
      </c>
      <c r="C104" t="s">
        <v>22</v>
      </c>
      <c r="D104" t="s">
        <v>12</v>
      </c>
      <c r="E104">
        <v>35</v>
      </c>
      <c r="F104">
        <v>1</v>
      </c>
      <c r="G104">
        <v>1003</v>
      </c>
      <c r="H104">
        <v>5</v>
      </c>
      <c r="I104" t="s">
        <v>19</v>
      </c>
      <c r="J104" s="3">
        <v>952.84999999999991</v>
      </c>
      <c r="K104" t="str">
        <f t="shared" si="1"/>
        <v>Adult</v>
      </c>
    </row>
    <row r="105" spans="1:11" x14ac:dyDescent="0.25">
      <c r="A105" s="1">
        <v>44931</v>
      </c>
      <c r="B105" t="s">
        <v>20</v>
      </c>
      <c r="C105" t="s">
        <v>18</v>
      </c>
      <c r="D105" t="s">
        <v>14</v>
      </c>
      <c r="E105">
        <v>44</v>
      </c>
      <c r="F105">
        <v>9</v>
      </c>
      <c r="G105">
        <v>834</v>
      </c>
      <c r="H105">
        <v>5</v>
      </c>
      <c r="I105" t="s">
        <v>16</v>
      </c>
      <c r="J105" s="3">
        <v>7130.7</v>
      </c>
      <c r="K105" t="str">
        <f t="shared" si="1"/>
        <v>Adult</v>
      </c>
    </row>
    <row r="106" spans="1:11" x14ac:dyDescent="0.25">
      <c r="A106" s="1">
        <v>44967</v>
      </c>
      <c r="B106" t="s">
        <v>20</v>
      </c>
      <c r="C106" t="s">
        <v>23</v>
      </c>
      <c r="D106" t="s">
        <v>14</v>
      </c>
      <c r="E106">
        <v>51</v>
      </c>
      <c r="F106">
        <v>8</v>
      </c>
      <c r="G106">
        <v>114</v>
      </c>
      <c r="H106">
        <v>0</v>
      </c>
      <c r="I106" t="s">
        <v>16</v>
      </c>
      <c r="J106" s="3">
        <v>912</v>
      </c>
      <c r="K106" t="str">
        <f t="shared" si="1"/>
        <v>Senior</v>
      </c>
    </row>
    <row r="107" spans="1:11" x14ac:dyDescent="0.25">
      <c r="A107" s="1">
        <v>44954</v>
      </c>
      <c r="B107" t="s">
        <v>10</v>
      </c>
      <c r="C107" t="s">
        <v>22</v>
      </c>
      <c r="D107" t="s">
        <v>12</v>
      </c>
      <c r="E107">
        <v>44</v>
      </c>
      <c r="F107">
        <v>4</v>
      </c>
      <c r="G107">
        <v>524</v>
      </c>
      <c r="H107">
        <v>20</v>
      </c>
      <c r="I107" t="s">
        <v>19</v>
      </c>
      <c r="J107" s="3">
        <v>1676.8000000000002</v>
      </c>
      <c r="K107" t="str">
        <f t="shared" si="1"/>
        <v>Adult</v>
      </c>
    </row>
    <row r="108" spans="1:11" x14ac:dyDescent="0.25">
      <c r="A108" s="1">
        <v>45061</v>
      </c>
      <c r="B108" t="s">
        <v>20</v>
      </c>
      <c r="C108" t="s">
        <v>18</v>
      </c>
      <c r="D108" t="s">
        <v>14</v>
      </c>
      <c r="E108">
        <v>34</v>
      </c>
      <c r="F108">
        <v>5</v>
      </c>
      <c r="G108">
        <v>172</v>
      </c>
      <c r="H108">
        <v>5</v>
      </c>
      <c r="I108" t="s">
        <v>19</v>
      </c>
      <c r="J108" s="3">
        <v>817</v>
      </c>
      <c r="K108" t="str">
        <f t="shared" si="1"/>
        <v>Young Adult</v>
      </c>
    </row>
    <row r="109" spans="1:11" x14ac:dyDescent="0.25">
      <c r="A109" s="1">
        <v>44998</v>
      </c>
      <c r="B109" t="s">
        <v>10</v>
      </c>
      <c r="C109" t="s">
        <v>11</v>
      </c>
      <c r="D109" t="s">
        <v>14</v>
      </c>
      <c r="E109">
        <v>41</v>
      </c>
      <c r="F109">
        <v>5</v>
      </c>
      <c r="G109">
        <v>1310</v>
      </c>
      <c r="H109">
        <v>0</v>
      </c>
      <c r="I109" t="s">
        <v>19</v>
      </c>
      <c r="J109" s="3">
        <v>6550</v>
      </c>
      <c r="K109" t="str">
        <f t="shared" si="1"/>
        <v>Adult</v>
      </c>
    </row>
    <row r="110" spans="1:11" x14ac:dyDescent="0.25">
      <c r="A110" s="1">
        <v>44938</v>
      </c>
      <c r="B110" t="s">
        <v>20</v>
      </c>
      <c r="C110" t="s">
        <v>11</v>
      </c>
      <c r="D110" t="s">
        <v>12</v>
      </c>
      <c r="E110">
        <v>42</v>
      </c>
      <c r="F110">
        <v>6</v>
      </c>
      <c r="G110">
        <v>432</v>
      </c>
      <c r="H110">
        <v>5</v>
      </c>
      <c r="I110" t="s">
        <v>16</v>
      </c>
      <c r="J110" s="3">
        <v>2462.4</v>
      </c>
      <c r="K110" t="str">
        <f t="shared" si="1"/>
        <v>Adult</v>
      </c>
    </row>
    <row r="111" spans="1:11" x14ac:dyDescent="0.25">
      <c r="A111" s="1">
        <v>45088</v>
      </c>
      <c r="B111" t="s">
        <v>17</v>
      </c>
      <c r="C111" t="s">
        <v>18</v>
      </c>
      <c r="D111" t="s">
        <v>14</v>
      </c>
      <c r="E111">
        <v>24</v>
      </c>
      <c r="F111">
        <v>7</v>
      </c>
      <c r="G111">
        <v>982</v>
      </c>
      <c r="H111">
        <v>10</v>
      </c>
      <c r="I111" t="s">
        <v>13</v>
      </c>
      <c r="J111" s="3">
        <v>6186.6</v>
      </c>
      <c r="K111" t="str">
        <f t="shared" si="1"/>
        <v>Youth</v>
      </c>
    </row>
    <row r="112" spans="1:11" x14ac:dyDescent="0.25">
      <c r="A112" s="1">
        <v>44959</v>
      </c>
      <c r="B112" t="s">
        <v>17</v>
      </c>
      <c r="C112" t="s">
        <v>18</v>
      </c>
      <c r="D112" t="s">
        <v>12</v>
      </c>
      <c r="E112">
        <v>23</v>
      </c>
      <c r="F112">
        <v>8</v>
      </c>
      <c r="G112">
        <v>1435</v>
      </c>
      <c r="H112">
        <v>20</v>
      </c>
      <c r="I112" t="s">
        <v>13</v>
      </c>
      <c r="J112" s="3">
        <v>9184</v>
      </c>
      <c r="K112" t="str">
        <f t="shared" si="1"/>
        <v>Youth</v>
      </c>
    </row>
    <row r="113" spans="1:11" x14ac:dyDescent="0.25">
      <c r="A113" s="1">
        <v>44974</v>
      </c>
      <c r="B113" t="s">
        <v>17</v>
      </c>
      <c r="C113" t="s">
        <v>23</v>
      </c>
      <c r="D113" t="s">
        <v>14</v>
      </c>
      <c r="E113">
        <v>41</v>
      </c>
      <c r="F113">
        <v>8</v>
      </c>
      <c r="G113">
        <v>941</v>
      </c>
      <c r="H113">
        <v>15</v>
      </c>
      <c r="I113" t="s">
        <v>19</v>
      </c>
      <c r="J113" s="3">
        <v>6398.8</v>
      </c>
      <c r="K113" t="str">
        <f t="shared" si="1"/>
        <v>Adult</v>
      </c>
    </row>
    <row r="114" spans="1:11" x14ac:dyDescent="0.25">
      <c r="A114" s="1">
        <v>45077</v>
      </c>
      <c r="B114" t="s">
        <v>20</v>
      </c>
      <c r="C114" t="s">
        <v>23</v>
      </c>
      <c r="D114" t="s">
        <v>12</v>
      </c>
      <c r="E114">
        <v>50</v>
      </c>
      <c r="F114">
        <v>2</v>
      </c>
      <c r="G114">
        <v>238</v>
      </c>
      <c r="H114">
        <v>5</v>
      </c>
      <c r="I114" t="s">
        <v>13</v>
      </c>
      <c r="J114" s="3">
        <v>452.2</v>
      </c>
      <c r="K114" t="str">
        <f t="shared" si="1"/>
        <v>Senior</v>
      </c>
    </row>
    <row r="115" spans="1:11" x14ac:dyDescent="0.25">
      <c r="A115" s="1">
        <v>44988</v>
      </c>
      <c r="B115" t="s">
        <v>10</v>
      </c>
      <c r="C115" t="s">
        <v>11</v>
      </c>
      <c r="D115" t="s">
        <v>12</v>
      </c>
      <c r="E115">
        <v>46</v>
      </c>
      <c r="F115">
        <v>9</v>
      </c>
      <c r="G115">
        <v>1036</v>
      </c>
      <c r="H115">
        <v>10</v>
      </c>
      <c r="I115" t="s">
        <v>19</v>
      </c>
      <c r="J115" s="3">
        <v>8391.6</v>
      </c>
      <c r="K115" t="str">
        <f t="shared" si="1"/>
        <v>Adult</v>
      </c>
    </row>
    <row r="116" spans="1:11" x14ac:dyDescent="0.25">
      <c r="A116" s="1">
        <v>44963</v>
      </c>
      <c r="B116" t="s">
        <v>10</v>
      </c>
      <c r="C116" t="s">
        <v>22</v>
      </c>
      <c r="D116" t="s">
        <v>14</v>
      </c>
      <c r="E116">
        <v>39</v>
      </c>
      <c r="F116">
        <v>7</v>
      </c>
      <c r="G116">
        <v>103</v>
      </c>
      <c r="H116">
        <v>15</v>
      </c>
      <c r="I116" t="s">
        <v>16</v>
      </c>
      <c r="J116" s="3">
        <v>612.85</v>
      </c>
      <c r="K116" t="str">
        <f t="shared" si="1"/>
        <v>Adult</v>
      </c>
    </row>
    <row r="117" spans="1:11" x14ac:dyDescent="0.25">
      <c r="A117" s="1">
        <v>45025</v>
      </c>
      <c r="B117" t="s">
        <v>20</v>
      </c>
      <c r="C117" t="s">
        <v>11</v>
      </c>
      <c r="D117" t="s">
        <v>14</v>
      </c>
      <c r="E117">
        <v>43</v>
      </c>
      <c r="F117">
        <v>4</v>
      </c>
      <c r="G117">
        <v>483</v>
      </c>
      <c r="H117">
        <v>15</v>
      </c>
      <c r="I117" t="s">
        <v>13</v>
      </c>
      <c r="J117" s="3">
        <v>1642.2</v>
      </c>
      <c r="K117" t="str">
        <f t="shared" si="1"/>
        <v>Adult</v>
      </c>
    </row>
    <row r="118" spans="1:11" x14ac:dyDescent="0.25">
      <c r="A118" s="1">
        <v>45098</v>
      </c>
      <c r="B118" t="s">
        <v>17</v>
      </c>
      <c r="C118" t="s">
        <v>22</v>
      </c>
      <c r="D118" t="s">
        <v>14</v>
      </c>
      <c r="E118">
        <v>45</v>
      </c>
      <c r="F118">
        <v>4</v>
      </c>
      <c r="G118">
        <v>884</v>
      </c>
      <c r="H118">
        <v>5</v>
      </c>
      <c r="I118" t="s">
        <v>16</v>
      </c>
      <c r="J118" s="3">
        <v>3359.2</v>
      </c>
      <c r="K118" t="str">
        <f t="shared" si="1"/>
        <v>Adult</v>
      </c>
    </row>
    <row r="119" spans="1:11" x14ac:dyDescent="0.25">
      <c r="A119" s="1">
        <v>45030</v>
      </c>
      <c r="B119" t="s">
        <v>17</v>
      </c>
      <c r="C119" t="s">
        <v>22</v>
      </c>
      <c r="D119" t="s">
        <v>14</v>
      </c>
      <c r="E119">
        <v>38</v>
      </c>
      <c r="F119">
        <v>8</v>
      </c>
      <c r="G119">
        <v>595</v>
      </c>
      <c r="H119">
        <v>0</v>
      </c>
      <c r="I119" t="s">
        <v>13</v>
      </c>
      <c r="J119" s="3">
        <v>4760</v>
      </c>
      <c r="K119" t="str">
        <f t="shared" si="1"/>
        <v>Adult</v>
      </c>
    </row>
    <row r="120" spans="1:11" x14ac:dyDescent="0.25">
      <c r="A120" s="1">
        <v>44961</v>
      </c>
      <c r="B120" t="s">
        <v>10</v>
      </c>
      <c r="C120" t="s">
        <v>23</v>
      </c>
      <c r="D120" t="s">
        <v>14</v>
      </c>
      <c r="E120">
        <v>24</v>
      </c>
      <c r="F120">
        <v>4</v>
      </c>
      <c r="G120">
        <v>811</v>
      </c>
      <c r="H120">
        <v>5</v>
      </c>
      <c r="I120" t="s">
        <v>16</v>
      </c>
      <c r="J120" s="3">
        <v>3081.7999999999997</v>
      </c>
      <c r="K120" t="str">
        <f t="shared" si="1"/>
        <v>Youth</v>
      </c>
    </row>
    <row r="121" spans="1:11" x14ac:dyDescent="0.25">
      <c r="A121" s="1">
        <v>45027</v>
      </c>
      <c r="B121" t="s">
        <v>17</v>
      </c>
      <c r="C121" t="s">
        <v>21</v>
      </c>
      <c r="D121" t="s">
        <v>12</v>
      </c>
      <c r="E121">
        <v>34</v>
      </c>
      <c r="F121">
        <v>6</v>
      </c>
      <c r="G121">
        <v>1467</v>
      </c>
      <c r="H121">
        <v>10</v>
      </c>
      <c r="I121" t="s">
        <v>13</v>
      </c>
      <c r="J121" s="3">
        <v>7921.8</v>
      </c>
      <c r="K121" t="str">
        <f t="shared" si="1"/>
        <v>Young Adult</v>
      </c>
    </row>
    <row r="122" spans="1:11" x14ac:dyDescent="0.25">
      <c r="A122" s="1">
        <v>45101</v>
      </c>
      <c r="B122" t="s">
        <v>15</v>
      </c>
      <c r="C122" t="s">
        <v>21</v>
      </c>
      <c r="D122" t="s">
        <v>14</v>
      </c>
      <c r="E122">
        <v>37</v>
      </c>
      <c r="F122">
        <v>5</v>
      </c>
      <c r="G122">
        <v>1485</v>
      </c>
      <c r="H122">
        <v>15</v>
      </c>
      <c r="I122" t="s">
        <v>16</v>
      </c>
      <c r="J122" s="3">
        <v>6311.25</v>
      </c>
      <c r="K122" t="str">
        <f t="shared" si="1"/>
        <v>Adult</v>
      </c>
    </row>
    <row r="123" spans="1:11" x14ac:dyDescent="0.25">
      <c r="A123" s="1">
        <v>45057</v>
      </c>
      <c r="B123" t="s">
        <v>10</v>
      </c>
      <c r="C123" t="s">
        <v>18</v>
      </c>
      <c r="D123" t="s">
        <v>12</v>
      </c>
      <c r="E123">
        <v>58</v>
      </c>
      <c r="F123">
        <v>3</v>
      </c>
      <c r="G123">
        <v>611</v>
      </c>
      <c r="H123">
        <v>5</v>
      </c>
      <c r="I123" t="s">
        <v>16</v>
      </c>
      <c r="J123" s="3">
        <v>1741.35</v>
      </c>
      <c r="K123" t="str">
        <f t="shared" si="1"/>
        <v>Senior</v>
      </c>
    </row>
    <row r="124" spans="1:11" x14ac:dyDescent="0.25">
      <c r="A124" s="1">
        <v>44927</v>
      </c>
      <c r="B124" t="s">
        <v>17</v>
      </c>
      <c r="C124" t="s">
        <v>23</v>
      </c>
      <c r="D124" t="s">
        <v>12</v>
      </c>
      <c r="E124">
        <v>37</v>
      </c>
      <c r="F124">
        <v>2</v>
      </c>
      <c r="G124">
        <v>1035</v>
      </c>
      <c r="H124">
        <v>0</v>
      </c>
      <c r="I124" t="s">
        <v>13</v>
      </c>
      <c r="J124" s="3">
        <v>2070</v>
      </c>
      <c r="K124" t="str">
        <f t="shared" si="1"/>
        <v>Adult</v>
      </c>
    </row>
    <row r="125" spans="1:11" x14ac:dyDescent="0.25">
      <c r="A125" s="1">
        <v>44931</v>
      </c>
      <c r="B125" t="s">
        <v>10</v>
      </c>
      <c r="C125" t="s">
        <v>22</v>
      </c>
      <c r="D125" t="s">
        <v>14</v>
      </c>
      <c r="E125">
        <v>39</v>
      </c>
      <c r="F125">
        <v>9</v>
      </c>
      <c r="G125">
        <v>231</v>
      </c>
      <c r="H125">
        <v>5</v>
      </c>
      <c r="I125" t="s">
        <v>16</v>
      </c>
      <c r="J125" s="3">
        <v>1975.05</v>
      </c>
      <c r="K125" t="str">
        <f t="shared" si="1"/>
        <v>Adult</v>
      </c>
    </row>
    <row r="126" spans="1:11" x14ac:dyDescent="0.25">
      <c r="A126" s="1">
        <v>45068</v>
      </c>
      <c r="B126" t="s">
        <v>15</v>
      </c>
      <c r="C126" t="s">
        <v>21</v>
      </c>
      <c r="D126" t="s">
        <v>12</v>
      </c>
      <c r="E126">
        <v>45</v>
      </c>
      <c r="F126">
        <v>9</v>
      </c>
      <c r="G126">
        <v>1026</v>
      </c>
      <c r="H126">
        <v>20</v>
      </c>
      <c r="I126" t="s">
        <v>16</v>
      </c>
      <c r="J126" s="3">
        <v>7387.2000000000007</v>
      </c>
      <c r="K126" t="str">
        <f t="shared" si="1"/>
        <v>Adult</v>
      </c>
    </row>
    <row r="127" spans="1:11" x14ac:dyDescent="0.25">
      <c r="A127" s="1">
        <v>45029</v>
      </c>
      <c r="B127" t="s">
        <v>10</v>
      </c>
      <c r="C127" t="s">
        <v>22</v>
      </c>
      <c r="D127" t="s">
        <v>12</v>
      </c>
      <c r="E127">
        <v>57</v>
      </c>
      <c r="F127">
        <v>1</v>
      </c>
      <c r="G127">
        <v>687</v>
      </c>
      <c r="H127">
        <v>0</v>
      </c>
      <c r="I127" t="s">
        <v>16</v>
      </c>
      <c r="J127" s="3">
        <v>687</v>
      </c>
      <c r="K127" t="str">
        <f t="shared" si="1"/>
        <v>Senior</v>
      </c>
    </row>
    <row r="128" spans="1:11" x14ac:dyDescent="0.25">
      <c r="A128" s="1">
        <v>44953</v>
      </c>
      <c r="B128" t="s">
        <v>10</v>
      </c>
      <c r="C128" t="s">
        <v>21</v>
      </c>
      <c r="D128" t="s">
        <v>12</v>
      </c>
      <c r="E128">
        <v>24</v>
      </c>
      <c r="F128">
        <v>3</v>
      </c>
      <c r="G128">
        <v>499</v>
      </c>
      <c r="H128">
        <v>10</v>
      </c>
      <c r="I128" t="s">
        <v>13</v>
      </c>
      <c r="J128" s="3">
        <v>1347.3</v>
      </c>
      <c r="K128" t="str">
        <f t="shared" si="1"/>
        <v>Youth</v>
      </c>
    </row>
    <row r="129" spans="1:11" x14ac:dyDescent="0.25">
      <c r="A129" s="1">
        <v>45063</v>
      </c>
      <c r="B129" t="s">
        <v>10</v>
      </c>
      <c r="C129" t="s">
        <v>21</v>
      </c>
      <c r="D129" t="s">
        <v>12</v>
      </c>
      <c r="E129">
        <v>18</v>
      </c>
      <c r="F129">
        <v>8</v>
      </c>
      <c r="G129">
        <v>1353</v>
      </c>
      <c r="H129">
        <v>15</v>
      </c>
      <c r="I129" t="s">
        <v>13</v>
      </c>
      <c r="J129" s="3">
        <v>9200.4</v>
      </c>
      <c r="K129" t="str">
        <f t="shared" si="1"/>
        <v>Youth</v>
      </c>
    </row>
    <row r="130" spans="1:11" x14ac:dyDescent="0.25">
      <c r="A130" s="1">
        <v>44941</v>
      </c>
      <c r="B130" t="s">
        <v>10</v>
      </c>
      <c r="C130" t="s">
        <v>21</v>
      </c>
      <c r="D130" t="s">
        <v>14</v>
      </c>
      <c r="E130">
        <v>49</v>
      </c>
      <c r="F130">
        <v>6</v>
      </c>
      <c r="G130">
        <v>1220</v>
      </c>
      <c r="H130">
        <v>5</v>
      </c>
      <c r="I130" t="s">
        <v>16</v>
      </c>
      <c r="J130" s="3">
        <v>6954</v>
      </c>
      <c r="K130" t="str">
        <f t="shared" si="1"/>
        <v>Adult</v>
      </c>
    </row>
    <row r="131" spans="1:11" x14ac:dyDescent="0.25">
      <c r="A131" s="1">
        <v>45016</v>
      </c>
      <c r="B131" t="s">
        <v>15</v>
      </c>
      <c r="C131" t="s">
        <v>23</v>
      </c>
      <c r="D131" t="s">
        <v>12</v>
      </c>
      <c r="E131">
        <v>30</v>
      </c>
      <c r="F131">
        <v>5</v>
      </c>
      <c r="G131">
        <v>945</v>
      </c>
      <c r="H131">
        <v>0</v>
      </c>
      <c r="I131" t="s">
        <v>16</v>
      </c>
      <c r="J131" s="3">
        <v>4725</v>
      </c>
      <c r="K131" t="str">
        <f t="shared" ref="K131:K194" si="2">IF(AND(E131&lt;=24,E131&gt;=15),"Youth",IF(AND(E131&lt;=34,E131&gt;=25),"Young Adult",IF(AND(E131&gt;=35,E131&lt;=49),"Adult","Senior")))</f>
        <v>Young Adult</v>
      </c>
    </row>
    <row r="132" spans="1:11" x14ac:dyDescent="0.25">
      <c r="A132" s="1">
        <v>44968</v>
      </c>
      <c r="B132" t="s">
        <v>20</v>
      </c>
      <c r="C132" t="s">
        <v>11</v>
      </c>
      <c r="D132" t="s">
        <v>14</v>
      </c>
      <c r="E132">
        <v>47</v>
      </c>
      <c r="F132">
        <v>5</v>
      </c>
      <c r="G132">
        <v>657</v>
      </c>
      <c r="H132">
        <v>20</v>
      </c>
      <c r="I132" t="s">
        <v>13</v>
      </c>
      <c r="J132" s="3">
        <v>2628</v>
      </c>
      <c r="K132" t="str">
        <f t="shared" si="2"/>
        <v>Adult</v>
      </c>
    </row>
    <row r="133" spans="1:11" x14ac:dyDescent="0.25">
      <c r="A133" s="1">
        <v>45050</v>
      </c>
      <c r="B133" t="s">
        <v>10</v>
      </c>
      <c r="C133" t="s">
        <v>22</v>
      </c>
      <c r="D133" t="s">
        <v>14</v>
      </c>
      <c r="E133">
        <v>40</v>
      </c>
      <c r="F133">
        <v>6</v>
      </c>
      <c r="G133">
        <v>414</v>
      </c>
      <c r="H133">
        <v>0</v>
      </c>
      <c r="I133" t="s">
        <v>13</v>
      </c>
      <c r="J133" s="3">
        <v>2484</v>
      </c>
      <c r="K133" t="str">
        <f t="shared" si="2"/>
        <v>Adult</v>
      </c>
    </row>
    <row r="134" spans="1:11" x14ac:dyDescent="0.25">
      <c r="A134" s="1">
        <v>45105</v>
      </c>
      <c r="B134" t="s">
        <v>10</v>
      </c>
      <c r="C134" t="s">
        <v>23</v>
      </c>
      <c r="D134" t="s">
        <v>12</v>
      </c>
      <c r="E134">
        <v>36</v>
      </c>
      <c r="F134">
        <v>7</v>
      </c>
      <c r="G134">
        <v>1011</v>
      </c>
      <c r="H134">
        <v>20</v>
      </c>
      <c r="I134" t="s">
        <v>16</v>
      </c>
      <c r="J134" s="3">
        <v>5661.6</v>
      </c>
      <c r="K134" t="str">
        <f t="shared" si="2"/>
        <v>Adult</v>
      </c>
    </row>
    <row r="135" spans="1:11" x14ac:dyDescent="0.25">
      <c r="A135" s="1">
        <v>44989</v>
      </c>
      <c r="B135" t="s">
        <v>17</v>
      </c>
      <c r="C135" t="s">
        <v>23</v>
      </c>
      <c r="D135" t="s">
        <v>14</v>
      </c>
      <c r="E135">
        <v>49</v>
      </c>
      <c r="F135">
        <v>1</v>
      </c>
      <c r="G135">
        <v>374</v>
      </c>
      <c r="H135">
        <v>10</v>
      </c>
      <c r="I135" t="s">
        <v>16</v>
      </c>
      <c r="J135" s="3">
        <v>336.6</v>
      </c>
      <c r="K135" t="str">
        <f t="shared" si="2"/>
        <v>Adult</v>
      </c>
    </row>
    <row r="136" spans="1:11" x14ac:dyDescent="0.25">
      <c r="A136" s="1">
        <v>45022</v>
      </c>
      <c r="B136" t="s">
        <v>10</v>
      </c>
      <c r="C136" t="s">
        <v>23</v>
      </c>
      <c r="D136" t="s">
        <v>14</v>
      </c>
      <c r="E136">
        <v>47</v>
      </c>
      <c r="F136">
        <v>9</v>
      </c>
      <c r="G136">
        <v>834</v>
      </c>
      <c r="H136">
        <v>15</v>
      </c>
      <c r="I136" t="s">
        <v>16</v>
      </c>
      <c r="J136" s="3">
        <v>6380.0999999999995</v>
      </c>
      <c r="K136" t="str">
        <f t="shared" si="2"/>
        <v>Adult</v>
      </c>
    </row>
    <row r="137" spans="1:11" x14ac:dyDescent="0.25">
      <c r="A137" s="1">
        <v>44978</v>
      </c>
      <c r="B137" t="s">
        <v>17</v>
      </c>
      <c r="C137" t="s">
        <v>23</v>
      </c>
      <c r="D137" t="s">
        <v>14</v>
      </c>
      <c r="E137">
        <v>46</v>
      </c>
      <c r="F137">
        <v>3</v>
      </c>
      <c r="G137">
        <v>1474</v>
      </c>
      <c r="H137">
        <v>10</v>
      </c>
      <c r="I137" t="s">
        <v>19</v>
      </c>
      <c r="J137" s="3">
        <v>3979.8</v>
      </c>
      <c r="K137" t="str">
        <f t="shared" si="2"/>
        <v>Adult</v>
      </c>
    </row>
    <row r="138" spans="1:11" x14ac:dyDescent="0.25">
      <c r="A138" s="1">
        <v>45022</v>
      </c>
      <c r="B138" t="s">
        <v>20</v>
      </c>
      <c r="C138" t="s">
        <v>23</v>
      </c>
      <c r="D138" t="s">
        <v>12</v>
      </c>
      <c r="E138">
        <v>46</v>
      </c>
      <c r="F138">
        <v>4</v>
      </c>
      <c r="G138">
        <v>265</v>
      </c>
      <c r="H138">
        <v>5</v>
      </c>
      <c r="I138" t="s">
        <v>13</v>
      </c>
      <c r="J138" s="3">
        <v>1007</v>
      </c>
      <c r="K138" t="str">
        <f t="shared" si="2"/>
        <v>Adult</v>
      </c>
    </row>
    <row r="139" spans="1:11" x14ac:dyDescent="0.25">
      <c r="A139" s="1">
        <v>45058</v>
      </c>
      <c r="B139" t="s">
        <v>15</v>
      </c>
      <c r="C139" t="s">
        <v>18</v>
      </c>
      <c r="D139" t="s">
        <v>14</v>
      </c>
      <c r="E139">
        <v>47</v>
      </c>
      <c r="F139">
        <v>1</v>
      </c>
      <c r="G139">
        <v>1349</v>
      </c>
      <c r="H139">
        <v>0</v>
      </c>
      <c r="I139" t="s">
        <v>19</v>
      </c>
      <c r="J139" s="3">
        <v>1349</v>
      </c>
      <c r="K139" t="str">
        <f t="shared" si="2"/>
        <v>Adult</v>
      </c>
    </row>
    <row r="140" spans="1:11" x14ac:dyDescent="0.25">
      <c r="A140" s="1">
        <v>45077</v>
      </c>
      <c r="B140" t="s">
        <v>15</v>
      </c>
      <c r="C140" t="s">
        <v>22</v>
      </c>
      <c r="D140" t="s">
        <v>14</v>
      </c>
      <c r="E140">
        <v>33</v>
      </c>
      <c r="F140">
        <v>3</v>
      </c>
      <c r="G140">
        <v>716</v>
      </c>
      <c r="H140">
        <v>20</v>
      </c>
      <c r="I140" t="s">
        <v>13</v>
      </c>
      <c r="J140" s="3">
        <v>1718.4</v>
      </c>
      <c r="K140" t="str">
        <f t="shared" si="2"/>
        <v>Young Adult</v>
      </c>
    </row>
    <row r="141" spans="1:11" x14ac:dyDescent="0.25">
      <c r="A141" s="1">
        <v>45069</v>
      </c>
      <c r="B141" t="s">
        <v>20</v>
      </c>
      <c r="C141" t="s">
        <v>23</v>
      </c>
      <c r="D141" t="s">
        <v>14</v>
      </c>
      <c r="E141">
        <v>57</v>
      </c>
      <c r="F141">
        <v>2</v>
      </c>
      <c r="G141">
        <v>1371</v>
      </c>
      <c r="H141">
        <v>20</v>
      </c>
      <c r="I141" t="s">
        <v>13</v>
      </c>
      <c r="J141" s="3">
        <v>2193.6</v>
      </c>
      <c r="K141" t="str">
        <f t="shared" si="2"/>
        <v>Senior</v>
      </c>
    </row>
    <row r="142" spans="1:11" x14ac:dyDescent="0.25">
      <c r="A142" s="1">
        <v>45097</v>
      </c>
      <c r="B142" t="s">
        <v>15</v>
      </c>
      <c r="C142" t="s">
        <v>22</v>
      </c>
      <c r="D142" t="s">
        <v>12</v>
      </c>
      <c r="E142">
        <v>36</v>
      </c>
      <c r="F142">
        <v>2</v>
      </c>
      <c r="G142">
        <v>1340</v>
      </c>
      <c r="H142">
        <v>0</v>
      </c>
      <c r="I142" t="s">
        <v>13</v>
      </c>
      <c r="J142" s="3">
        <v>2680</v>
      </c>
      <c r="K142" t="str">
        <f t="shared" si="2"/>
        <v>Adult</v>
      </c>
    </row>
    <row r="143" spans="1:11" x14ac:dyDescent="0.25">
      <c r="A143" s="1">
        <v>44955</v>
      </c>
      <c r="B143" t="s">
        <v>20</v>
      </c>
      <c r="C143" t="s">
        <v>18</v>
      </c>
      <c r="D143" t="s">
        <v>14</v>
      </c>
      <c r="E143">
        <v>35</v>
      </c>
      <c r="F143">
        <v>1</v>
      </c>
      <c r="G143">
        <v>609</v>
      </c>
      <c r="H143">
        <v>0</v>
      </c>
      <c r="I143" t="s">
        <v>13</v>
      </c>
      <c r="J143" s="3">
        <v>609</v>
      </c>
      <c r="K143" t="str">
        <f t="shared" si="2"/>
        <v>Adult</v>
      </c>
    </row>
    <row r="144" spans="1:11" x14ac:dyDescent="0.25">
      <c r="A144" s="1">
        <v>44962</v>
      </c>
      <c r="B144" t="s">
        <v>20</v>
      </c>
      <c r="C144" t="s">
        <v>18</v>
      </c>
      <c r="D144" t="s">
        <v>12</v>
      </c>
      <c r="E144">
        <v>18</v>
      </c>
      <c r="F144">
        <v>8</v>
      </c>
      <c r="G144">
        <v>100</v>
      </c>
      <c r="H144">
        <v>5</v>
      </c>
      <c r="I144" t="s">
        <v>13</v>
      </c>
      <c r="J144" s="3">
        <v>760</v>
      </c>
      <c r="K144" t="str">
        <f t="shared" si="2"/>
        <v>Youth</v>
      </c>
    </row>
    <row r="145" spans="1:11" x14ac:dyDescent="0.25">
      <c r="A145" s="1">
        <v>44939</v>
      </c>
      <c r="B145" t="s">
        <v>20</v>
      </c>
      <c r="C145" t="s">
        <v>22</v>
      </c>
      <c r="D145" t="s">
        <v>12</v>
      </c>
      <c r="E145">
        <v>31</v>
      </c>
      <c r="F145">
        <v>3</v>
      </c>
      <c r="G145">
        <v>990</v>
      </c>
      <c r="H145">
        <v>10</v>
      </c>
      <c r="I145" t="s">
        <v>13</v>
      </c>
      <c r="J145" s="3">
        <v>2673</v>
      </c>
      <c r="K145" t="str">
        <f t="shared" si="2"/>
        <v>Young Adult</v>
      </c>
    </row>
    <row r="146" spans="1:11" x14ac:dyDescent="0.25">
      <c r="A146" s="1">
        <v>45086</v>
      </c>
      <c r="B146" t="s">
        <v>15</v>
      </c>
      <c r="C146" t="s">
        <v>21</v>
      </c>
      <c r="D146" t="s">
        <v>12</v>
      </c>
      <c r="E146">
        <v>19</v>
      </c>
      <c r="F146">
        <v>3</v>
      </c>
      <c r="G146">
        <v>946</v>
      </c>
      <c r="H146">
        <v>20</v>
      </c>
      <c r="I146" t="s">
        <v>13</v>
      </c>
      <c r="J146" s="3">
        <v>2270.4</v>
      </c>
      <c r="K146" t="str">
        <f t="shared" si="2"/>
        <v>Youth</v>
      </c>
    </row>
    <row r="147" spans="1:11" x14ac:dyDescent="0.25">
      <c r="A147" s="1">
        <v>44997</v>
      </c>
      <c r="B147" t="s">
        <v>17</v>
      </c>
      <c r="C147" t="s">
        <v>11</v>
      </c>
      <c r="D147" t="s">
        <v>12</v>
      </c>
      <c r="E147">
        <v>45</v>
      </c>
      <c r="F147">
        <v>6</v>
      </c>
      <c r="G147">
        <v>873</v>
      </c>
      <c r="H147">
        <v>5</v>
      </c>
      <c r="I147" t="s">
        <v>19</v>
      </c>
      <c r="J147" s="3">
        <v>4976.0999999999995</v>
      </c>
      <c r="K147" t="str">
        <f t="shared" si="2"/>
        <v>Adult</v>
      </c>
    </row>
    <row r="148" spans="1:11" x14ac:dyDescent="0.25">
      <c r="A148" s="1">
        <v>45012</v>
      </c>
      <c r="B148" t="s">
        <v>20</v>
      </c>
      <c r="C148" t="s">
        <v>21</v>
      </c>
      <c r="D148" t="s">
        <v>12</v>
      </c>
      <c r="E148">
        <v>47</v>
      </c>
      <c r="F148">
        <v>8</v>
      </c>
      <c r="G148">
        <v>179</v>
      </c>
      <c r="H148">
        <v>10</v>
      </c>
      <c r="I148" t="s">
        <v>16</v>
      </c>
      <c r="J148" s="3">
        <v>1288.8</v>
      </c>
      <c r="K148" t="str">
        <f t="shared" si="2"/>
        <v>Adult</v>
      </c>
    </row>
    <row r="149" spans="1:11" x14ac:dyDescent="0.25">
      <c r="A149" s="1">
        <v>44954</v>
      </c>
      <c r="B149" t="s">
        <v>10</v>
      </c>
      <c r="C149" t="s">
        <v>21</v>
      </c>
      <c r="D149" t="s">
        <v>12</v>
      </c>
      <c r="E149">
        <v>55</v>
      </c>
      <c r="F149">
        <v>9</v>
      </c>
      <c r="G149">
        <v>831</v>
      </c>
      <c r="H149">
        <v>5</v>
      </c>
      <c r="I149" t="s">
        <v>16</v>
      </c>
      <c r="J149" s="3">
        <v>7105.0499999999993</v>
      </c>
      <c r="K149" t="str">
        <f t="shared" si="2"/>
        <v>Senior</v>
      </c>
    </row>
    <row r="150" spans="1:11" x14ac:dyDescent="0.25">
      <c r="A150" s="1">
        <v>44992</v>
      </c>
      <c r="B150" t="s">
        <v>15</v>
      </c>
      <c r="C150" t="s">
        <v>21</v>
      </c>
      <c r="D150" t="s">
        <v>14</v>
      </c>
      <c r="E150">
        <v>21</v>
      </c>
      <c r="F150">
        <v>9</v>
      </c>
      <c r="G150">
        <v>557</v>
      </c>
      <c r="H150">
        <v>20</v>
      </c>
      <c r="I150" t="s">
        <v>19</v>
      </c>
      <c r="J150" s="3">
        <v>4010.4</v>
      </c>
      <c r="K150" t="str">
        <f t="shared" si="2"/>
        <v>Youth</v>
      </c>
    </row>
    <row r="151" spans="1:11" x14ac:dyDescent="0.25">
      <c r="A151" s="1">
        <v>45096</v>
      </c>
      <c r="B151" t="s">
        <v>20</v>
      </c>
      <c r="C151" t="s">
        <v>23</v>
      </c>
      <c r="D151" t="s">
        <v>12</v>
      </c>
      <c r="E151">
        <v>18</v>
      </c>
      <c r="F151">
        <v>4</v>
      </c>
      <c r="G151">
        <v>1401</v>
      </c>
      <c r="H151">
        <v>0</v>
      </c>
      <c r="I151" t="s">
        <v>19</v>
      </c>
      <c r="J151" s="3">
        <v>5604</v>
      </c>
      <c r="K151" t="str">
        <f t="shared" si="2"/>
        <v>Youth</v>
      </c>
    </row>
    <row r="152" spans="1:11" x14ac:dyDescent="0.25">
      <c r="A152" s="1">
        <v>44971</v>
      </c>
      <c r="B152" t="s">
        <v>20</v>
      </c>
      <c r="C152" t="s">
        <v>18</v>
      </c>
      <c r="D152" t="s">
        <v>14</v>
      </c>
      <c r="E152">
        <v>25</v>
      </c>
      <c r="F152">
        <v>5</v>
      </c>
      <c r="G152">
        <v>1019</v>
      </c>
      <c r="H152">
        <v>0</v>
      </c>
      <c r="I152" t="s">
        <v>19</v>
      </c>
      <c r="J152" s="3">
        <v>5095</v>
      </c>
      <c r="K152" t="str">
        <f t="shared" si="2"/>
        <v>Young Adult</v>
      </c>
    </row>
    <row r="153" spans="1:11" x14ac:dyDescent="0.25">
      <c r="A153" s="1">
        <v>44988</v>
      </c>
      <c r="B153" t="s">
        <v>10</v>
      </c>
      <c r="C153" t="s">
        <v>21</v>
      </c>
      <c r="D153" t="s">
        <v>14</v>
      </c>
      <c r="E153">
        <v>46</v>
      </c>
      <c r="F153">
        <v>2</v>
      </c>
      <c r="G153">
        <v>605</v>
      </c>
      <c r="H153">
        <v>10</v>
      </c>
      <c r="I153" t="s">
        <v>19</v>
      </c>
      <c r="J153" s="3">
        <v>1089</v>
      </c>
      <c r="K153" t="str">
        <f t="shared" si="2"/>
        <v>Adult</v>
      </c>
    </row>
    <row r="154" spans="1:11" x14ac:dyDescent="0.25">
      <c r="A154" s="1">
        <v>45060</v>
      </c>
      <c r="B154" t="s">
        <v>17</v>
      </c>
      <c r="C154" t="s">
        <v>18</v>
      </c>
      <c r="D154" t="s">
        <v>12</v>
      </c>
      <c r="E154">
        <v>56</v>
      </c>
      <c r="F154">
        <v>9</v>
      </c>
      <c r="G154">
        <v>413</v>
      </c>
      <c r="H154">
        <v>15</v>
      </c>
      <c r="I154" t="s">
        <v>13</v>
      </c>
      <c r="J154" s="3">
        <v>3159.45</v>
      </c>
      <c r="K154" t="str">
        <f t="shared" si="2"/>
        <v>Senior</v>
      </c>
    </row>
    <row r="155" spans="1:11" x14ac:dyDescent="0.25">
      <c r="A155" s="1">
        <v>44954</v>
      </c>
      <c r="B155" t="s">
        <v>17</v>
      </c>
      <c r="C155" t="s">
        <v>22</v>
      </c>
      <c r="D155" t="s">
        <v>14</v>
      </c>
      <c r="E155">
        <v>20</v>
      </c>
      <c r="F155">
        <v>8</v>
      </c>
      <c r="G155">
        <v>81</v>
      </c>
      <c r="H155">
        <v>10</v>
      </c>
      <c r="I155" t="s">
        <v>16</v>
      </c>
      <c r="J155" s="3">
        <v>583.20000000000005</v>
      </c>
      <c r="K155" t="str">
        <f t="shared" si="2"/>
        <v>Youth</v>
      </c>
    </row>
    <row r="156" spans="1:11" x14ac:dyDescent="0.25">
      <c r="A156" s="1">
        <v>44954</v>
      </c>
      <c r="B156" t="s">
        <v>17</v>
      </c>
      <c r="C156" t="s">
        <v>11</v>
      </c>
      <c r="D156" t="s">
        <v>14</v>
      </c>
      <c r="E156">
        <v>49</v>
      </c>
      <c r="F156">
        <v>3</v>
      </c>
      <c r="G156">
        <v>454</v>
      </c>
      <c r="H156">
        <v>15</v>
      </c>
      <c r="I156" t="s">
        <v>13</v>
      </c>
      <c r="J156" s="3">
        <v>1157.7</v>
      </c>
      <c r="K156" t="str">
        <f t="shared" si="2"/>
        <v>Adult</v>
      </c>
    </row>
    <row r="157" spans="1:11" x14ac:dyDescent="0.25">
      <c r="A157" s="1">
        <v>45034</v>
      </c>
      <c r="B157" t="s">
        <v>20</v>
      </c>
      <c r="C157" t="s">
        <v>22</v>
      </c>
      <c r="D157" t="s">
        <v>14</v>
      </c>
      <c r="E157">
        <v>27</v>
      </c>
      <c r="F157">
        <v>9</v>
      </c>
      <c r="G157">
        <v>372</v>
      </c>
      <c r="H157">
        <v>5</v>
      </c>
      <c r="I157" t="s">
        <v>16</v>
      </c>
      <c r="J157" s="3">
        <v>3180.6</v>
      </c>
      <c r="K157" t="str">
        <f t="shared" si="2"/>
        <v>Young Adult</v>
      </c>
    </row>
    <row r="158" spans="1:11" x14ac:dyDescent="0.25">
      <c r="A158" s="1">
        <v>44970</v>
      </c>
      <c r="B158" t="s">
        <v>20</v>
      </c>
      <c r="C158" t="s">
        <v>22</v>
      </c>
      <c r="D158" t="s">
        <v>14</v>
      </c>
      <c r="E158">
        <v>27</v>
      </c>
      <c r="F158">
        <v>3</v>
      </c>
      <c r="G158">
        <v>916</v>
      </c>
      <c r="H158">
        <v>5</v>
      </c>
      <c r="I158" t="s">
        <v>16</v>
      </c>
      <c r="J158" s="3">
        <v>2610.6</v>
      </c>
      <c r="K158" t="str">
        <f t="shared" si="2"/>
        <v>Young Adult</v>
      </c>
    </row>
    <row r="159" spans="1:11" x14ac:dyDescent="0.25">
      <c r="A159" s="1">
        <v>45010</v>
      </c>
      <c r="B159" t="s">
        <v>20</v>
      </c>
      <c r="C159" t="s">
        <v>23</v>
      </c>
      <c r="D159" t="s">
        <v>12</v>
      </c>
      <c r="E159">
        <v>36</v>
      </c>
      <c r="F159">
        <v>9</v>
      </c>
      <c r="G159">
        <v>1084</v>
      </c>
      <c r="H159">
        <v>20</v>
      </c>
      <c r="I159" t="s">
        <v>19</v>
      </c>
      <c r="J159" s="3">
        <v>7804.8</v>
      </c>
      <c r="K159" t="str">
        <f t="shared" si="2"/>
        <v>Adult</v>
      </c>
    </row>
    <row r="160" spans="1:11" x14ac:dyDescent="0.25">
      <c r="A160" s="1">
        <v>44956</v>
      </c>
      <c r="B160" t="s">
        <v>15</v>
      </c>
      <c r="C160" t="s">
        <v>11</v>
      </c>
      <c r="D160" t="s">
        <v>14</v>
      </c>
      <c r="E160">
        <v>51</v>
      </c>
      <c r="F160">
        <v>2</v>
      </c>
      <c r="G160">
        <v>632</v>
      </c>
      <c r="H160">
        <v>15</v>
      </c>
      <c r="I160" t="s">
        <v>13</v>
      </c>
      <c r="J160" s="3">
        <v>1074.3999999999999</v>
      </c>
      <c r="K160" t="str">
        <f t="shared" si="2"/>
        <v>Senior</v>
      </c>
    </row>
    <row r="161" spans="1:11" x14ac:dyDescent="0.25">
      <c r="A161" s="1">
        <v>45001</v>
      </c>
      <c r="B161" t="s">
        <v>10</v>
      </c>
      <c r="C161" t="s">
        <v>22</v>
      </c>
      <c r="D161" t="s">
        <v>12</v>
      </c>
      <c r="E161">
        <v>50</v>
      </c>
      <c r="F161">
        <v>9</v>
      </c>
      <c r="G161">
        <v>397</v>
      </c>
      <c r="H161">
        <v>20</v>
      </c>
      <c r="I161" t="s">
        <v>19</v>
      </c>
      <c r="J161" s="3">
        <v>2858.4</v>
      </c>
      <c r="K161" t="str">
        <f t="shared" si="2"/>
        <v>Senior</v>
      </c>
    </row>
    <row r="162" spans="1:11" x14ac:dyDescent="0.25">
      <c r="A162" s="1">
        <v>45054</v>
      </c>
      <c r="B162" t="s">
        <v>20</v>
      </c>
      <c r="C162" t="s">
        <v>22</v>
      </c>
      <c r="D162" t="s">
        <v>14</v>
      </c>
      <c r="E162">
        <v>40</v>
      </c>
      <c r="F162">
        <v>8</v>
      </c>
      <c r="G162">
        <v>460</v>
      </c>
      <c r="H162">
        <v>0</v>
      </c>
      <c r="I162" t="s">
        <v>13</v>
      </c>
      <c r="J162" s="3">
        <v>3680</v>
      </c>
      <c r="K162" t="str">
        <f t="shared" si="2"/>
        <v>Adult</v>
      </c>
    </row>
    <row r="163" spans="1:11" x14ac:dyDescent="0.25">
      <c r="A163" s="1">
        <v>45018</v>
      </c>
      <c r="B163" t="s">
        <v>10</v>
      </c>
      <c r="C163" t="s">
        <v>11</v>
      </c>
      <c r="D163" t="s">
        <v>14</v>
      </c>
      <c r="E163">
        <v>45</v>
      </c>
      <c r="F163">
        <v>9</v>
      </c>
      <c r="G163">
        <v>93</v>
      </c>
      <c r="H163">
        <v>15</v>
      </c>
      <c r="I163" t="s">
        <v>16</v>
      </c>
      <c r="J163" s="3">
        <v>711.44999999999993</v>
      </c>
      <c r="K163" t="str">
        <f t="shared" si="2"/>
        <v>Adult</v>
      </c>
    </row>
    <row r="164" spans="1:11" x14ac:dyDescent="0.25">
      <c r="A164" s="1">
        <v>45055</v>
      </c>
      <c r="B164" t="s">
        <v>10</v>
      </c>
      <c r="C164" t="s">
        <v>11</v>
      </c>
      <c r="D164" t="s">
        <v>12</v>
      </c>
      <c r="E164">
        <v>49</v>
      </c>
      <c r="F164">
        <v>5</v>
      </c>
      <c r="G164">
        <v>583</v>
      </c>
      <c r="H164">
        <v>10</v>
      </c>
      <c r="I164" t="s">
        <v>19</v>
      </c>
      <c r="J164" s="3">
        <v>2623.5</v>
      </c>
      <c r="K164" t="str">
        <f t="shared" si="2"/>
        <v>Adult</v>
      </c>
    </row>
    <row r="165" spans="1:11" x14ac:dyDescent="0.25">
      <c r="A165" s="1">
        <v>45047</v>
      </c>
      <c r="B165" t="s">
        <v>17</v>
      </c>
      <c r="C165" t="s">
        <v>22</v>
      </c>
      <c r="D165" t="s">
        <v>14</v>
      </c>
      <c r="E165">
        <v>24</v>
      </c>
      <c r="F165">
        <v>2</v>
      </c>
      <c r="G165">
        <v>310</v>
      </c>
      <c r="H165">
        <v>0</v>
      </c>
      <c r="I165" t="s">
        <v>19</v>
      </c>
      <c r="J165" s="3">
        <v>620</v>
      </c>
      <c r="K165" t="str">
        <f t="shared" si="2"/>
        <v>Youth</v>
      </c>
    </row>
    <row r="166" spans="1:11" x14ac:dyDescent="0.25">
      <c r="A166" s="1">
        <v>44953</v>
      </c>
      <c r="B166" t="s">
        <v>15</v>
      </c>
      <c r="C166" t="s">
        <v>11</v>
      </c>
      <c r="D166" t="s">
        <v>14</v>
      </c>
      <c r="E166">
        <v>46</v>
      </c>
      <c r="F166">
        <v>8</v>
      </c>
      <c r="G166">
        <v>1187</v>
      </c>
      <c r="H166">
        <v>0</v>
      </c>
      <c r="I166" t="s">
        <v>16</v>
      </c>
      <c r="J166" s="3">
        <v>9496</v>
      </c>
      <c r="K166" t="str">
        <f t="shared" si="2"/>
        <v>Adult</v>
      </c>
    </row>
    <row r="167" spans="1:11" x14ac:dyDescent="0.25">
      <c r="A167" s="1">
        <v>45047</v>
      </c>
      <c r="B167" t="s">
        <v>20</v>
      </c>
      <c r="C167" t="s">
        <v>22</v>
      </c>
      <c r="D167" t="s">
        <v>14</v>
      </c>
      <c r="E167">
        <v>25</v>
      </c>
      <c r="F167">
        <v>6</v>
      </c>
      <c r="G167">
        <v>209</v>
      </c>
      <c r="H167">
        <v>10</v>
      </c>
      <c r="I167" t="s">
        <v>16</v>
      </c>
      <c r="J167" s="3">
        <v>1128.6000000000001</v>
      </c>
      <c r="K167" t="str">
        <f t="shared" si="2"/>
        <v>Young Adult</v>
      </c>
    </row>
    <row r="168" spans="1:11" x14ac:dyDescent="0.25">
      <c r="A168" s="1">
        <v>45042</v>
      </c>
      <c r="B168" t="s">
        <v>17</v>
      </c>
      <c r="C168" t="s">
        <v>22</v>
      </c>
      <c r="D168" t="s">
        <v>12</v>
      </c>
      <c r="E168">
        <v>18</v>
      </c>
      <c r="F168">
        <v>8</v>
      </c>
      <c r="G168">
        <v>917</v>
      </c>
      <c r="H168">
        <v>0</v>
      </c>
      <c r="I168" t="s">
        <v>16</v>
      </c>
      <c r="J168" s="3">
        <v>7336</v>
      </c>
      <c r="K168" t="str">
        <f t="shared" si="2"/>
        <v>Youth</v>
      </c>
    </row>
    <row r="169" spans="1:11" x14ac:dyDescent="0.25">
      <c r="A169" s="1">
        <v>44929</v>
      </c>
      <c r="B169" t="s">
        <v>17</v>
      </c>
      <c r="C169" t="s">
        <v>23</v>
      </c>
      <c r="D169" t="s">
        <v>14</v>
      </c>
      <c r="E169">
        <v>20</v>
      </c>
      <c r="F169">
        <v>5</v>
      </c>
      <c r="G169">
        <v>1248</v>
      </c>
      <c r="H169">
        <v>15</v>
      </c>
      <c r="I169" t="s">
        <v>19</v>
      </c>
      <c r="J169" s="3">
        <v>5304</v>
      </c>
      <c r="K169" t="str">
        <f t="shared" si="2"/>
        <v>Youth</v>
      </c>
    </row>
    <row r="170" spans="1:11" x14ac:dyDescent="0.25">
      <c r="A170" s="1">
        <v>45029</v>
      </c>
      <c r="B170" t="s">
        <v>20</v>
      </c>
      <c r="C170" t="s">
        <v>21</v>
      </c>
      <c r="D170" t="s">
        <v>12</v>
      </c>
      <c r="E170">
        <v>41</v>
      </c>
      <c r="F170">
        <v>2</v>
      </c>
      <c r="G170">
        <v>970</v>
      </c>
      <c r="H170">
        <v>20</v>
      </c>
      <c r="I170" t="s">
        <v>13</v>
      </c>
      <c r="J170" s="3">
        <v>1552</v>
      </c>
      <c r="K170" t="str">
        <f t="shared" si="2"/>
        <v>Adult</v>
      </c>
    </row>
    <row r="171" spans="1:11" x14ac:dyDescent="0.25">
      <c r="A171" s="1">
        <v>45081</v>
      </c>
      <c r="B171" t="s">
        <v>10</v>
      </c>
      <c r="C171" t="s">
        <v>22</v>
      </c>
      <c r="D171" t="s">
        <v>14</v>
      </c>
      <c r="E171">
        <v>40</v>
      </c>
      <c r="F171">
        <v>6</v>
      </c>
      <c r="G171">
        <v>107</v>
      </c>
      <c r="H171">
        <v>0</v>
      </c>
      <c r="I171" t="s">
        <v>19</v>
      </c>
      <c r="J171" s="3">
        <v>642</v>
      </c>
      <c r="K171" t="str">
        <f t="shared" si="2"/>
        <v>Adult</v>
      </c>
    </row>
    <row r="172" spans="1:11" x14ac:dyDescent="0.25">
      <c r="A172" s="1">
        <v>45063</v>
      </c>
      <c r="B172" t="s">
        <v>17</v>
      </c>
      <c r="C172" t="s">
        <v>18</v>
      </c>
      <c r="D172" t="s">
        <v>12</v>
      </c>
      <c r="E172">
        <v>25</v>
      </c>
      <c r="F172">
        <v>5</v>
      </c>
      <c r="G172">
        <v>145</v>
      </c>
      <c r="H172">
        <v>15</v>
      </c>
      <c r="I172" t="s">
        <v>13</v>
      </c>
      <c r="J172" s="3">
        <v>616.25</v>
      </c>
      <c r="K172" t="str">
        <f t="shared" si="2"/>
        <v>Young Adult</v>
      </c>
    </row>
    <row r="173" spans="1:11" x14ac:dyDescent="0.25">
      <c r="A173" s="1">
        <v>44988</v>
      </c>
      <c r="B173" t="s">
        <v>10</v>
      </c>
      <c r="C173" t="s">
        <v>21</v>
      </c>
      <c r="D173" t="s">
        <v>12</v>
      </c>
      <c r="E173">
        <v>54</v>
      </c>
      <c r="F173">
        <v>5</v>
      </c>
      <c r="G173">
        <v>1266</v>
      </c>
      <c r="H173">
        <v>5</v>
      </c>
      <c r="I173" t="s">
        <v>19</v>
      </c>
      <c r="J173" s="3">
        <v>6013.5</v>
      </c>
      <c r="K173" t="str">
        <f t="shared" si="2"/>
        <v>Senior</v>
      </c>
    </row>
    <row r="174" spans="1:11" x14ac:dyDescent="0.25">
      <c r="A174" s="1">
        <v>45091</v>
      </c>
      <c r="B174" t="s">
        <v>15</v>
      </c>
      <c r="C174" t="s">
        <v>21</v>
      </c>
      <c r="D174" t="s">
        <v>14</v>
      </c>
      <c r="E174">
        <v>20</v>
      </c>
      <c r="F174">
        <v>1</v>
      </c>
      <c r="G174">
        <v>1332</v>
      </c>
      <c r="H174">
        <v>15</v>
      </c>
      <c r="I174" t="s">
        <v>19</v>
      </c>
      <c r="J174" s="3">
        <v>1132.2</v>
      </c>
      <c r="K174" t="str">
        <f t="shared" si="2"/>
        <v>Youth</v>
      </c>
    </row>
    <row r="175" spans="1:11" x14ac:dyDescent="0.25">
      <c r="A175" s="1">
        <v>44977</v>
      </c>
      <c r="B175" t="s">
        <v>10</v>
      </c>
      <c r="C175" t="s">
        <v>21</v>
      </c>
      <c r="D175" t="s">
        <v>14</v>
      </c>
      <c r="E175">
        <v>50</v>
      </c>
      <c r="F175">
        <v>2</v>
      </c>
      <c r="G175">
        <v>340</v>
      </c>
      <c r="H175">
        <v>20</v>
      </c>
      <c r="I175" t="s">
        <v>16</v>
      </c>
      <c r="J175" s="3">
        <v>544</v>
      </c>
      <c r="K175" t="str">
        <f t="shared" si="2"/>
        <v>Senior</v>
      </c>
    </row>
    <row r="176" spans="1:11" x14ac:dyDescent="0.25">
      <c r="A176" s="1">
        <v>45098</v>
      </c>
      <c r="B176" t="s">
        <v>15</v>
      </c>
      <c r="C176" t="s">
        <v>23</v>
      </c>
      <c r="D176" t="s">
        <v>12</v>
      </c>
      <c r="E176">
        <v>45</v>
      </c>
      <c r="F176">
        <v>8</v>
      </c>
      <c r="G176">
        <v>539</v>
      </c>
      <c r="H176">
        <v>15</v>
      </c>
      <c r="I176" t="s">
        <v>13</v>
      </c>
      <c r="J176" s="3">
        <v>3665.2</v>
      </c>
      <c r="K176" t="str">
        <f t="shared" si="2"/>
        <v>Adult</v>
      </c>
    </row>
    <row r="177" spans="1:11" x14ac:dyDescent="0.25">
      <c r="A177" s="1">
        <v>45078</v>
      </c>
      <c r="B177" t="s">
        <v>10</v>
      </c>
      <c r="C177" t="s">
        <v>22</v>
      </c>
      <c r="D177" t="s">
        <v>12</v>
      </c>
      <c r="E177">
        <v>25</v>
      </c>
      <c r="F177">
        <v>3</v>
      </c>
      <c r="G177">
        <v>380</v>
      </c>
      <c r="H177">
        <v>10</v>
      </c>
      <c r="I177" t="s">
        <v>19</v>
      </c>
      <c r="J177" s="3">
        <v>1026</v>
      </c>
      <c r="K177" t="str">
        <f t="shared" si="2"/>
        <v>Young Adult</v>
      </c>
    </row>
    <row r="178" spans="1:11" x14ac:dyDescent="0.25">
      <c r="A178" s="1">
        <v>44985</v>
      </c>
      <c r="B178" t="s">
        <v>17</v>
      </c>
      <c r="C178" t="s">
        <v>23</v>
      </c>
      <c r="D178" t="s">
        <v>14</v>
      </c>
      <c r="E178">
        <v>51</v>
      </c>
      <c r="F178">
        <v>3</v>
      </c>
      <c r="G178">
        <v>998</v>
      </c>
      <c r="H178">
        <v>20</v>
      </c>
      <c r="I178" t="s">
        <v>19</v>
      </c>
      <c r="J178" s="3">
        <v>2395.2000000000003</v>
      </c>
      <c r="K178" t="str">
        <f t="shared" si="2"/>
        <v>Senior</v>
      </c>
    </row>
    <row r="179" spans="1:11" x14ac:dyDescent="0.25">
      <c r="A179" s="1">
        <v>45044</v>
      </c>
      <c r="B179" t="s">
        <v>17</v>
      </c>
      <c r="C179" t="s">
        <v>22</v>
      </c>
      <c r="D179" t="s">
        <v>12</v>
      </c>
      <c r="E179">
        <v>52</v>
      </c>
      <c r="F179">
        <v>8</v>
      </c>
      <c r="G179">
        <v>1406</v>
      </c>
      <c r="H179">
        <v>5</v>
      </c>
      <c r="I179" t="s">
        <v>16</v>
      </c>
      <c r="J179" s="3">
        <v>10685.6</v>
      </c>
      <c r="K179" t="str">
        <f t="shared" si="2"/>
        <v>Senior</v>
      </c>
    </row>
    <row r="180" spans="1:11" x14ac:dyDescent="0.25">
      <c r="A180" s="1">
        <v>45086</v>
      </c>
      <c r="B180" t="s">
        <v>15</v>
      </c>
      <c r="C180" t="s">
        <v>23</v>
      </c>
      <c r="D180" t="s">
        <v>14</v>
      </c>
      <c r="E180">
        <v>49</v>
      </c>
      <c r="F180">
        <v>8</v>
      </c>
      <c r="G180">
        <v>366</v>
      </c>
      <c r="H180">
        <v>10</v>
      </c>
      <c r="I180" t="s">
        <v>16</v>
      </c>
      <c r="J180" s="3">
        <v>2635.2000000000003</v>
      </c>
      <c r="K180" t="str">
        <f t="shared" si="2"/>
        <v>Adult</v>
      </c>
    </row>
    <row r="181" spans="1:11" x14ac:dyDescent="0.25">
      <c r="A181" s="1">
        <v>45022</v>
      </c>
      <c r="B181" t="s">
        <v>20</v>
      </c>
      <c r="C181" t="s">
        <v>23</v>
      </c>
      <c r="D181" t="s">
        <v>14</v>
      </c>
      <c r="E181">
        <v>41</v>
      </c>
      <c r="F181">
        <v>2</v>
      </c>
      <c r="G181">
        <v>1498</v>
      </c>
      <c r="H181">
        <v>15</v>
      </c>
      <c r="I181" t="s">
        <v>13</v>
      </c>
      <c r="J181" s="3">
        <v>2546.6</v>
      </c>
      <c r="K181" t="str">
        <f t="shared" si="2"/>
        <v>Adult</v>
      </c>
    </row>
    <row r="182" spans="1:11" x14ac:dyDescent="0.25">
      <c r="A182" s="1">
        <v>45106</v>
      </c>
      <c r="B182" t="s">
        <v>15</v>
      </c>
      <c r="C182" t="s">
        <v>18</v>
      </c>
      <c r="D182" t="s">
        <v>14</v>
      </c>
      <c r="E182">
        <v>31</v>
      </c>
      <c r="F182">
        <v>8</v>
      </c>
      <c r="G182">
        <v>1113</v>
      </c>
      <c r="H182">
        <v>20</v>
      </c>
      <c r="I182" t="s">
        <v>19</v>
      </c>
      <c r="J182" s="3">
        <v>7123.2000000000007</v>
      </c>
      <c r="K182" t="str">
        <f t="shared" si="2"/>
        <v>Young Adult</v>
      </c>
    </row>
    <row r="183" spans="1:11" x14ac:dyDescent="0.25">
      <c r="A183" s="1">
        <v>45039</v>
      </c>
      <c r="B183" t="s">
        <v>15</v>
      </c>
      <c r="C183" t="s">
        <v>23</v>
      </c>
      <c r="D183" t="s">
        <v>14</v>
      </c>
      <c r="E183">
        <v>49</v>
      </c>
      <c r="F183">
        <v>1</v>
      </c>
      <c r="G183">
        <v>709</v>
      </c>
      <c r="H183">
        <v>5</v>
      </c>
      <c r="I183" t="s">
        <v>13</v>
      </c>
      <c r="J183" s="3">
        <v>673.55</v>
      </c>
      <c r="K183" t="str">
        <f t="shared" si="2"/>
        <v>Adult</v>
      </c>
    </row>
    <row r="184" spans="1:11" x14ac:dyDescent="0.25">
      <c r="A184" s="1">
        <v>44988</v>
      </c>
      <c r="B184" t="s">
        <v>10</v>
      </c>
      <c r="C184" t="s">
        <v>11</v>
      </c>
      <c r="D184" t="s">
        <v>12</v>
      </c>
      <c r="E184">
        <v>33</v>
      </c>
      <c r="F184">
        <v>6</v>
      </c>
      <c r="G184">
        <v>349</v>
      </c>
      <c r="H184">
        <v>10</v>
      </c>
      <c r="I184" t="s">
        <v>19</v>
      </c>
      <c r="J184" s="3">
        <v>1884.6000000000001</v>
      </c>
      <c r="K184" t="str">
        <f t="shared" si="2"/>
        <v>Young Adult</v>
      </c>
    </row>
    <row r="185" spans="1:11" x14ac:dyDescent="0.25">
      <c r="A185" s="1">
        <v>44978</v>
      </c>
      <c r="B185" t="s">
        <v>10</v>
      </c>
      <c r="C185" t="s">
        <v>18</v>
      </c>
      <c r="D185" t="s">
        <v>14</v>
      </c>
      <c r="E185">
        <v>21</v>
      </c>
      <c r="F185">
        <v>8</v>
      </c>
      <c r="G185">
        <v>671</v>
      </c>
      <c r="H185">
        <v>5</v>
      </c>
      <c r="I185" t="s">
        <v>13</v>
      </c>
      <c r="J185" s="3">
        <v>5099.5999999999995</v>
      </c>
      <c r="K185" t="str">
        <f t="shared" si="2"/>
        <v>Youth</v>
      </c>
    </row>
    <row r="186" spans="1:11" x14ac:dyDescent="0.25">
      <c r="A186" s="1">
        <v>44938</v>
      </c>
      <c r="B186" t="s">
        <v>15</v>
      </c>
      <c r="C186" t="s">
        <v>23</v>
      </c>
      <c r="D186" t="s">
        <v>12</v>
      </c>
      <c r="E186">
        <v>54</v>
      </c>
      <c r="F186">
        <v>3</v>
      </c>
      <c r="G186">
        <v>923</v>
      </c>
      <c r="H186">
        <v>15</v>
      </c>
      <c r="I186" t="s">
        <v>16</v>
      </c>
      <c r="J186" s="3">
        <v>2353.65</v>
      </c>
      <c r="K186" t="str">
        <f t="shared" si="2"/>
        <v>Senior</v>
      </c>
    </row>
    <row r="187" spans="1:11" x14ac:dyDescent="0.25">
      <c r="A187" s="1">
        <v>44965</v>
      </c>
      <c r="B187" t="s">
        <v>17</v>
      </c>
      <c r="C187" t="s">
        <v>21</v>
      </c>
      <c r="D187" t="s">
        <v>14</v>
      </c>
      <c r="E187">
        <v>38</v>
      </c>
      <c r="F187">
        <v>8</v>
      </c>
      <c r="G187">
        <v>941</v>
      </c>
      <c r="H187">
        <v>5</v>
      </c>
      <c r="I187" t="s">
        <v>19</v>
      </c>
      <c r="J187" s="3">
        <v>7151.5999999999995</v>
      </c>
      <c r="K187" t="str">
        <f t="shared" si="2"/>
        <v>Adult</v>
      </c>
    </row>
    <row r="188" spans="1:11" x14ac:dyDescent="0.25">
      <c r="A188" s="1">
        <v>45056</v>
      </c>
      <c r="B188" t="s">
        <v>10</v>
      </c>
      <c r="C188" t="s">
        <v>11</v>
      </c>
      <c r="D188" t="s">
        <v>12</v>
      </c>
      <c r="E188">
        <v>31</v>
      </c>
      <c r="F188">
        <v>1</v>
      </c>
      <c r="G188">
        <v>1464</v>
      </c>
      <c r="H188">
        <v>0</v>
      </c>
      <c r="I188" t="s">
        <v>13</v>
      </c>
      <c r="J188" s="3">
        <v>1464</v>
      </c>
      <c r="K188" t="str">
        <f t="shared" si="2"/>
        <v>Young Adult</v>
      </c>
    </row>
    <row r="189" spans="1:11" x14ac:dyDescent="0.25">
      <c r="A189" s="1">
        <v>45057</v>
      </c>
      <c r="B189" t="s">
        <v>20</v>
      </c>
      <c r="C189" t="s">
        <v>11</v>
      </c>
      <c r="D189" t="s">
        <v>14</v>
      </c>
      <c r="E189">
        <v>48</v>
      </c>
      <c r="F189">
        <v>9</v>
      </c>
      <c r="G189">
        <v>1360</v>
      </c>
      <c r="H189">
        <v>10</v>
      </c>
      <c r="I189" t="s">
        <v>16</v>
      </c>
      <c r="J189" s="3">
        <v>11016</v>
      </c>
      <c r="K189" t="str">
        <f t="shared" si="2"/>
        <v>Adult</v>
      </c>
    </row>
    <row r="190" spans="1:11" x14ac:dyDescent="0.25">
      <c r="A190" s="1">
        <v>45039</v>
      </c>
      <c r="B190" t="s">
        <v>10</v>
      </c>
      <c r="C190" t="s">
        <v>11</v>
      </c>
      <c r="D190" t="s">
        <v>12</v>
      </c>
      <c r="E190">
        <v>35</v>
      </c>
      <c r="F190">
        <v>9</v>
      </c>
      <c r="G190">
        <v>212</v>
      </c>
      <c r="H190">
        <v>5</v>
      </c>
      <c r="I190" t="s">
        <v>16</v>
      </c>
      <c r="J190" s="3">
        <v>1812.6</v>
      </c>
      <c r="K190" t="str">
        <f t="shared" si="2"/>
        <v>Adult</v>
      </c>
    </row>
    <row r="191" spans="1:11" x14ac:dyDescent="0.25">
      <c r="A191" s="1">
        <v>45027</v>
      </c>
      <c r="B191" t="s">
        <v>10</v>
      </c>
      <c r="C191" t="s">
        <v>18</v>
      </c>
      <c r="D191" t="s">
        <v>12</v>
      </c>
      <c r="E191">
        <v>24</v>
      </c>
      <c r="F191">
        <v>5</v>
      </c>
      <c r="G191">
        <v>1379</v>
      </c>
      <c r="H191">
        <v>15</v>
      </c>
      <c r="I191" t="s">
        <v>13</v>
      </c>
      <c r="J191" s="3">
        <v>5860.75</v>
      </c>
      <c r="K191" t="str">
        <f t="shared" si="2"/>
        <v>Youth</v>
      </c>
    </row>
    <row r="192" spans="1:11" x14ac:dyDescent="0.25">
      <c r="A192" s="1">
        <v>45039</v>
      </c>
      <c r="B192" t="s">
        <v>20</v>
      </c>
      <c r="C192" t="s">
        <v>23</v>
      </c>
      <c r="D192" t="s">
        <v>14</v>
      </c>
      <c r="E192">
        <v>27</v>
      </c>
      <c r="F192">
        <v>4</v>
      </c>
      <c r="G192">
        <v>1051</v>
      </c>
      <c r="H192">
        <v>15</v>
      </c>
      <c r="I192" t="s">
        <v>19</v>
      </c>
      <c r="J192" s="3">
        <v>3573.4</v>
      </c>
      <c r="K192" t="str">
        <f t="shared" si="2"/>
        <v>Young Adult</v>
      </c>
    </row>
    <row r="193" spans="1:11" x14ac:dyDescent="0.25">
      <c r="A193" s="1">
        <v>45007</v>
      </c>
      <c r="B193" t="s">
        <v>15</v>
      </c>
      <c r="C193" t="s">
        <v>23</v>
      </c>
      <c r="D193" t="s">
        <v>14</v>
      </c>
      <c r="E193">
        <v>24</v>
      </c>
      <c r="F193">
        <v>6</v>
      </c>
      <c r="G193">
        <v>592</v>
      </c>
      <c r="H193">
        <v>5</v>
      </c>
      <c r="I193" t="s">
        <v>19</v>
      </c>
      <c r="J193" s="3">
        <v>3374.3999999999996</v>
      </c>
      <c r="K193" t="str">
        <f t="shared" si="2"/>
        <v>Youth</v>
      </c>
    </row>
    <row r="194" spans="1:11" x14ac:dyDescent="0.25">
      <c r="A194" s="1">
        <v>45039</v>
      </c>
      <c r="B194" t="s">
        <v>20</v>
      </c>
      <c r="C194" t="s">
        <v>21</v>
      </c>
      <c r="D194" t="s">
        <v>14</v>
      </c>
      <c r="E194">
        <v>50</v>
      </c>
      <c r="F194">
        <v>7</v>
      </c>
      <c r="G194">
        <v>392</v>
      </c>
      <c r="H194">
        <v>15</v>
      </c>
      <c r="I194" t="s">
        <v>16</v>
      </c>
      <c r="J194" s="3">
        <v>2332.4</v>
      </c>
      <c r="K194" t="str">
        <f t="shared" si="2"/>
        <v>Senior</v>
      </c>
    </row>
    <row r="195" spans="1:11" x14ac:dyDescent="0.25">
      <c r="A195" s="1">
        <v>44928</v>
      </c>
      <c r="B195" t="s">
        <v>15</v>
      </c>
      <c r="C195" t="s">
        <v>21</v>
      </c>
      <c r="D195" t="s">
        <v>14</v>
      </c>
      <c r="E195">
        <v>40</v>
      </c>
      <c r="F195">
        <v>5</v>
      </c>
      <c r="G195">
        <v>655</v>
      </c>
      <c r="H195">
        <v>20</v>
      </c>
      <c r="I195" t="s">
        <v>19</v>
      </c>
      <c r="J195" s="3">
        <v>2620</v>
      </c>
      <c r="K195" t="str">
        <f t="shared" ref="K195:K258" si="3">IF(AND(E195&lt;=24,E195&gt;=15),"Youth",IF(AND(E195&lt;=34,E195&gt;=25),"Young Adult",IF(AND(E195&gt;=35,E195&lt;=49),"Adult","Senior")))</f>
        <v>Adult</v>
      </c>
    </row>
    <row r="196" spans="1:11" x14ac:dyDescent="0.25">
      <c r="A196" s="1">
        <v>45056</v>
      </c>
      <c r="B196" t="s">
        <v>15</v>
      </c>
      <c r="C196" t="s">
        <v>11</v>
      </c>
      <c r="D196" t="s">
        <v>12</v>
      </c>
      <c r="E196">
        <v>38</v>
      </c>
      <c r="F196">
        <v>9</v>
      </c>
      <c r="G196">
        <v>965</v>
      </c>
      <c r="H196">
        <v>20</v>
      </c>
      <c r="I196" t="s">
        <v>19</v>
      </c>
      <c r="J196" s="3">
        <v>6948</v>
      </c>
      <c r="K196" t="str">
        <f t="shared" si="3"/>
        <v>Adult</v>
      </c>
    </row>
    <row r="197" spans="1:11" x14ac:dyDescent="0.25">
      <c r="A197" s="1">
        <v>44980</v>
      </c>
      <c r="B197" t="s">
        <v>15</v>
      </c>
      <c r="C197" t="s">
        <v>21</v>
      </c>
      <c r="D197" t="s">
        <v>14</v>
      </c>
      <c r="E197">
        <v>36</v>
      </c>
      <c r="F197">
        <v>3</v>
      </c>
      <c r="G197">
        <v>1387</v>
      </c>
      <c r="H197">
        <v>20</v>
      </c>
      <c r="I197" t="s">
        <v>19</v>
      </c>
      <c r="J197" s="3">
        <v>3328.8</v>
      </c>
      <c r="K197" t="str">
        <f t="shared" si="3"/>
        <v>Adult</v>
      </c>
    </row>
    <row r="198" spans="1:11" x14ac:dyDescent="0.25">
      <c r="A198" s="1">
        <v>45013</v>
      </c>
      <c r="B198" t="s">
        <v>20</v>
      </c>
      <c r="C198" t="s">
        <v>18</v>
      </c>
      <c r="D198" t="s">
        <v>12</v>
      </c>
      <c r="E198">
        <v>36</v>
      </c>
      <c r="F198">
        <v>7</v>
      </c>
      <c r="G198">
        <v>1224</v>
      </c>
      <c r="H198">
        <v>0</v>
      </c>
      <c r="I198" t="s">
        <v>16</v>
      </c>
      <c r="J198" s="3">
        <v>8568</v>
      </c>
      <c r="K198" t="str">
        <f t="shared" si="3"/>
        <v>Adult</v>
      </c>
    </row>
    <row r="199" spans="1:11" x14ac:dyDescent="0.25">
      <c r="A199" s="1">
        <v>45055</v>
      </c>
      <c r="B199" t="s">
        <v>15</v>
      </c>
      <c r="C199" t="s">
        <v>23</v>
      </c>
      <c r="D199" t="s">
        <v>12</v>
      </c>
      <c r="E199">
        <v>53</v>
      </c>
      <c r="F199">
        <v>5</v>
      </c>
      <c r="G199">
        <v>1210</v>
      </c>
      <c r="H199">
        <v>5</v>
      </c>
      <c r="I199" t="s">
        <v>13</v>
      </c>
      <c r="J199" s="3">
        <v>5747.5</v>
      </c>
      <c r="K199" t="str">
        <f t="shared" si="3"/>
        <v>Senior</v>
      </c>
    </row>
    <row r="200" spans="1:11" x14ac:dyDescent="0.25">
      <c r="A200" s="1">
        <v>45073</v>
      </c>
      <c r="B200" t="s">
        <v>17</v>
      </c>
      <c r="C200" t="s">
        <v>11</v>
      </c>
      <c r="D200" t="s">
        <v>14</v>
      </c>
      <c r="E200">
        <v>46</v>
      </c>
      <c r="F200">
        <v>7</v>
      </c>
      <c r="G200">
        <v>766</v>
      </c>
      <c r="H200">
        <v>0</v>
      </c>
      <c r="I200" t="s">
        <v>19</v>
      </c>
      <c r="J200" s="3">
        <v>5362</v>
      </c>
      <c r="K200" t="str">
        <f t="shared" si="3"/>
        <v>Adult</v>
      </c>
    </row>
    <row r="201" spans="1:11" x14ac:dyDescent="0.25">
      <c r="A201" s="1">
        <v>45052</v>
      </c>
      <c r="B201" t="s">
        <v>20</v>
      </c>
      <c r="C201" t="s">
        <v>21</v>
      </c>
      <c r="D201" t="s">
        <v>12</v>
      </c>
      <c r="E201">
        <v>35</v>
      </c>
      <c r="F201">
        <v>2</v>
      </c>
      <c r="G201">
        <v>1307</v>
      </c>
      <c r="H201">
        <v>15</v>
      </c>
      <c r="I201" t="s">
        <v>16</v>
      </c>
      <c r="J201" s="3">
        <v>2221.9</v>
      </c>
      <c r="K201" t="str">
        <f t="shared" si="3"/>
        <v>Adult</v>
      </c>
    </row>
    <row r="202" spans="1:11" x14ac:dyDescent="0.25">
      <c r="A202" s="1">
        <v>45056</v>
      </c>
      <c r="B202" t="s">
        <v>17</v>
      </c>
      <c r="C202" t="s">
        <v>18</v>
      </c>
      <c r="D202" t="s">
        <v>12</v>
      </c>
      <c r="E202">
        <v>19</v>
      </c>
      <c r="F202">
        <v>4</v>
      </c>
      <c r="G202">
        <v>244</v>
      </c>
      <c r="H202">
        <v>0</v>
      </c>
      <c r="I202" t="s">
        <v>16</v>
      </c>
      <c r="J202" s="3">
        <v>976</v>
      </c>
      <c r="K202" t="str">
        <f t="shared" si="3"/>
        <v>Youth</v>
      </c>
    </row>
    <row r="203" spans="1:11" x14ac:dyDescent="0.25">
      <c r="A203" s="1">
        <v>44979</v>
      </c>
      <c r="B203" t="s">
        <v>15</v>
      </c>
      <c r="C203" t="s">
        <v>18</v>
      </c>
      <c r="D203" t="s">
        <v>12</v>
      </c>
      <c r="E203">
        <v>18</v>
      </c>
      <c r="F203">
        <v>2</v>
      </c>
      <c r="G203">
        <v>384</v>
      </c>
      <c r="H203">
        <v>15</v>
      </c>
      <c r="I203" t="s">
        <v>13</v>
      </c>
      <c r="J203" s="3">
        <v>652.79999999999995</v>
      </c>
      <c r="K203" t="str">
        <f t="shared" si="3"/>
        <v>Youth</v>
      </c>
    </row>
    <row r="204" spans="1:11" x14ac:dyDescent="0.25">
      <c r="A204" s="1">
        <v>45098</v>
      </c>
      <c r="B204" t="s">
        <v>10</v>
      </c>
      <c r="C204" t="s">
        <v>21</v>
      </c>
      <c r="D204" t="s">
        <v>12</v>
      </c>
      <c r="E204">
        <v>22</v>
      </c>
      <c r="F204">
        <v>7</v>
      </c>
      <c r="G204">
        <v>235</v>
      </c>
      <c r="H204">
        <v>15</v>
      </c>
      <c r="I204" t="s">
        <v>19</v>
      </c>
      <c r="J204" s="3">
        <v>1398.25</v>
      </c>
      <c r="K204" t="str">
        <f t="shared" si="3"/>
        <v>Youth</v>
      </c>
    </row>
    <row r="205" spans="1:11" x14ac:dyDescent="0.25">
      <c r="A205" s="1">
        <v>45086</v>
      </c>
      <c r="B205" t="s">
        <v>15</v>
      </c>
      <c r="C205" t="s">
        <v>23</v>
      </c>
      <c r="D205" t="s">
        <v>14</v>
      </c>
      <c r="E205">
        <v>37</v>
      </c>
      <c r="F205">
        <v>2</v>
      </c>
      <c r="G205">
        <v>1470</v>
      </c>
      <c r="H205">
        <v>10</v>
      </c>
      <c r="I205" t="s">
        <v>19</v>
      </c>
      <c r="J205" s="3">
        <v>2646</v>
      </c>
      <c r="K205" t="str">
        <f t="shared" si="3"/>
        <v>Adult</v>
      </c>
    </row>
    <row r="206" spans="1:11" x14ac:dyDescent="0.25">
      <c r="A206" s="1">
        <v>45086</v>
      </c>
      <c r="B206" t="s">
        <v>17</v>
      </c>
      <c r="C206" t="s">
        <v>21</v>
      </c>
      <c r="D206" t="s">
        <v>14</v>
      </c>
      <c r="E206">
        <v>28</v>
      </c>
      <c r="F206">
        <v>1</v>
      </c>
      <c r="G206">
        <v>699</v>
      </c>
      <c r="H206">
        <v>20</v>
      </c>
      <c r="I206" t="s">
        <v>13</v>
      </c>
      <c r="J206" s="3">
        <v>559.20000000000005</v>
      </c>
      <c r="K206" t="str">
        <f t="shared" si="3"/>
        <v>Young Adult</v>
      </c>
    </row>
    <row r="207" spans="1:11" x14ac:dyDescent="0.25">
      <c r="A207" s="1">
        <v>44994</v>
      </c>
      <c r="B207" t="s">
        <v>17</v>
      </c>
      <c r="C207" t="s">
        <v>11</v>
      </c>
      <c r="D207" t="s">
        <v>14</v>
      </c>
      <c r="E207">
        <v>59</v>
      </c>
      <c r="F207">
        <v>9</v>
      </c>
      <c r="G207">
        <v>1354</v>
      </c>
      <c r="H207">
        <v>15</v>
      </c>
      <c r="I207" t="s">
        <v>13</v>
      </c>
      <c r="J207" s="3">
        <v>10358.1</v>
      </c>
      <c r="K207" t="str">
        <f t="shared" si="3"/>
        <v>Senior</v>
      </c>
    </row>
    <row r="208" spans="1:11" x14ac:dyDescent="0.25">
      <c r="A208" s="1">
        <v>45049</v>
      </c>
      <c r="B208" t="s">
        <v>20</v>
      </c>
      <c r="C208" t="s">
        <v>21</v>
      </c>
      <c r="D208" t="s">
        <v>14</v>
      </c>
      <c r="E208">
        <v>19</v>
      </c>
      <c r="F208">
        <v>1</v>
      </c>
      <c r="G208">
        <v>1036</v>
      </c>
      <c r="H208">
        <v>10</v>
      </c>
      <c r="I208" t="s">
        <v>16</v>
      </c>
      <c r="J208" s="3">
        <v>932.4</v>
      </c>
      <c r="K208" t="str">
        <f t="shared" si="3"/>
        <v>Youth</v>
      </c>
    </row>
    <row r="209" spans="1:11" x14ac:dyDescent="0.25">
      <c r="A209" s="1">
        <v>45071</v>
      </c>
      <c r="B209" t="s">
        <v>10</v>
      </c>
      <c r="C209" t="s">
        <v>18</v>
      </c>
      <c r="D209" t="s">
        <v>12</v>
      </c>
      <c r="E209">
        <v>20</v>
      </c>
      <c r="F209">
        <v>8</v>
      </c>
      <c r="G209">
        <v>413</v>
      </c>
      <c r="H209">
        <v>20</v>
      </c>
      <c r="I209" t="s">
        <v>16</v>
      </c>
      <c r="J209" s="3">
        <v>2643.2000000000003</v>
      </c>
      <c r="K209" t="str">
        <f t="shared" si="3"/>
        <v>Youth</v>
      </c>
    </row>
    <row r="210" spans="1:11" x14ac:dyDescent="0.25">
      <c r="A210" s="1">
        <v>44964</v>
      </c>
      <c r="B210" t="s">
        <v>20</v>
      </c>
      <c r="C210" t="s">
        <v>21</v>
      </c>
      <c r="D210" t="s">
        <v>12</v>
      </c>
      <c r="E210">
        <v>40</v>
      </c>
      <c r="F210">
        <v>2</v>
      </c>
      <c r="G210">
        <v>1048</v>
      </c>
      <c r="H210">
        <v>15</v>
      </c>
      <c r="I210" t="s">
        <v>13</v>
      </c>
      <c r="J210" s="3">
        <v>1781.6</v>
      </c>
      <c r="K210" t="str">
        <f t="shared" si="3"/>
        <v>Adult</v>
      </c>
    </row>
    <row r="211" spans="1:11" x14ac:dyDescent="0.25">
      <c r="A211" s="1">
        <v>44950</v>
      </c>
      <c r="B211" t="s">
        <v>17</v>
      </c>
      <c r="C211" t="s">
        <v>23</v>
      </c>
      <c r="D211" t="s">
        <v>14</v>
      </c>
      <c r="E211">
        <v>29</v>
      </c>
      <c r="F211">
        <v>8</v>
      </c>
      <c r="G211">
        <v>590</v>
      </c>
      <c r="H211">
        <v>15</v>
      </c>
      <c r="I211" t="s">
        <v>19</v>
      </c>
      <c r="J211" s="3">
        <v>4012</v>
      </c>
      <c r="K211" t="str">
        <f t="shared" si="3"/>
        <v>Young Adult</v>
      </c>
    </row>
    <row r="212" spans="1:11" x14ac:dyDescent="0.25">
      <c r="A212" s="1">
        <v>44995</v>
      </c>
      <c r="B212" t="s">
        <v>15</v>
      </c>
      <c r="C212" t="s">
        <v>22</v>
      </c>
      <c r="D212" t="s">
        <v>14</v>
      </c>
      <c r="E212">
        <v>37</v>
      </c>
      <c r="F212">
        <v>3</v>
      </c>
      <c r="G212">
        <v>1396</v>
      </c>
      <c r="H212">
        <v>0</v>
      </c>
      <c r="I212" t="s">
        <v>16</v>
      </c>
      <c r="J212" s="3">
        <v>4188</v>
      </c>
      <c r="K212" t="str">
        <f t="shared" si="3"/>
        <v>Adult</v>
      </c>
    </row>
    <row r="213" spans="1:11" x14ac:dyDescent="0.25">
      <c r="A213" s="1">
        <v>45042</v>
      </c>
      <c r="B213" t="s">
        <v>10</v>
      </c>
      <c r="C213" t="s">
        <v>21</v>
      </c>
      <c r="D213" t="s">
        <v>14</v>
      </c>
      <c r="E213">
        <v>22</v>
      </c>
      <c r="F213">
        <v>6</v>
      </c>
      <c r="G213">
        <v>1123</v>
      </c>
      <c r="H213">
        <v>0</v>
      </c>
      <c r="I213" t="s">
        <v>16</v>
      </c>
      <c r="J213" s="3">
        <v>6738</v>
      </c>
      <c r="K213" t="str">
        <f t="shared" si="3"/>
        <v>Youth</v>
      </c>
    </row>
    <row r="214" spans="1:11" x14ac:dyDescent="0.25">
      <c r="A214" s="1">
        <v>45024</v>
      </c>
      <c r="B214" t="s">
        <v>15</v>
      </c>
      <c r="C214" t="s">
        <v>23</v>
      </c>
      <c r="D214" t="s">
        <v>12</v>
      </c>
      <c r="E214">
        <v>54</v>
      </c>
      <c r="F214">
        <v>3</v>
      </c>
      <c r="G214">
        <v>361</v>
      </c>
      <c r="H214">
        <v>20</v>
      </c>
      <c r="I214" t="s">
        <v>19</v>
      </c>
      <c r="J214" s="3">
        <v>866.40000000000009</v>
      </c>
      <c r="K214" t="str">
        <f t="shared" si="3"/>
        <v>Senior</v>
      </c>
    </row>
    <row r="215" spans="1:11" x14ac:dyDescent="0.25">
      <c r="A215" s="1">
        <v>45065</v>
      </c>
      <c r="B215" t="s">
        <v>15</v>
      </c>
      <c r="C215" t="s">
        <v>23</v>
      </c>
      <c r="D215" t="s">
        <v>14</v>
      </c>
      <c r="E215">
        <v>55</v>
      </c>
      <c r="F215">
        <v>7</v>
      </c>
      <c r="G215">
        <v>876</v>
      </c>
      <c r="H215">
        <v>15</v>
      </c>
      <c r="I215" t="s">
        <v>16</v>
      </c>
      <c r="J215" s="3">
        <v>5212.2</v>
      </c>
      <c r="K215" t="str">
        <f t="shared" si="3"/>
        <v>Senior</v>
      </c>
    </row>
    <row r="216" spans="1:11" x14ac:dyDescent="0.25">
      <c r="A216" s="1">
        <v>45070</v>
      </c>
      <c r="B216" t="s">
        <v>10</v>
      </c>
      <c r="C216" t="s">
        <v>18</v>
      </c>
      <c r="D216" t="s">
        <v>14</v>
      </c>
      <c r="E216">
        <v>47</v>
      </c>
      <c r="F216">
        <v>9</v>
      </c>
      <c r="G216">
        <v>1104</v>
      </c>
      <c r="H216">
        <v>5</v>
      </c>
      <c r="I216" t="s">
        <v>19</v>
      </c>
      <c r="J216" s="3">
        <v>9439.1999999999989</v>
      </c>
      <c r="K216" t="str">
        <f t="shared" si="3"/>
        <v>Adult</v>
      </c>
    </row>
    <row r="217" spans="1:11" x14ac:dyDescent="0.25">
      <c r="A217" s="1">
        <v>45023</v>
      </c>
      <c r="B217" t="s">
        <v>20</v>
      </c>
      <c r="C217" t="s">
        <v>23</v>
      </c>
      <c r="D217" t="s">
        <v>14</v>
      </c>
      <c r="E217">
        <v>26</v>
      </c>
      <c r="F217">
        <v>2</v>
      </c>
      <c r="G217">
        <v>198</v>
      </c>
      <c r="H217">
        <v>0</v>
      </c>
      <c r="I217" t="s">
        <v>19</v>
      </c>
      <c r="J217" s="3">
        <v>396</v>
      </c>
      <c r="K217" t="str">
        <f t="shared" si="3"/>
        <v>Young Adult</v>
      </c>
    </row>
    <row r="218" spans="1:11" x14ac:dyDescent="0.25">
      <c r="A218" s="1">
        <v>45050</v>
      </c>
      <c r="B218" t="s">
        <v>15</v>
      </c>
      <c r="C218" t="s">
        <v>23</v>
      </c>
      <c r="D218" t="s">
        <v>12</v>
      </c>
      <c r="E218">
        <v>51</v>
      </c>
      <c r="F218">
        <v>5</v>
      </c>
      <c r="G218">
        <v>1138</v>
      </c>
      <c r="H218">
        <v>20</v>
      </c>
      <c r="I218" t="s">
        <v>19</v>
      </c>
      <c r="J218" s="3">
        <v>4552</v>
      </c>
      <c r="K218" t="str">
        <f t="shared" si="3"/>
        <v>Senior</v>
      </c>
    </row>
    <row r="219" spans="1:11" x14ac:dyDescent="0.25">
      <c r="A219" s="1">
        <v>44996</v>
      </c>
      <c r="B219" t="s">
        <v>17</v>
      </c>
      <c r="C219" t="s">
        <v>23</v>
      </c>
      <c r="D219" t="s">
        <v>12</v>
      </c>
      <c r="E219">
        <v>52</v>
      </c>
      <c r="F219">
        <v>6</v>
      </c>
      <c r="G219">
        <v>277</v>
      </c>
      <c r="H219">
        <v>15</v>
      </c>
      <c r="I219" t="s">
        <v>13</v>
      </c>
      <c r="J219" s="3">
        <v>1412.7</v>
      </c>
      <c r="K219" t="str">
        <f t="shared" si="3"/>
        <v>Senior</v>
      </c>
    </row>
    <row r="220" spans="1:11" x14ac:dyDescent="0.25">
      <c r="A220" s="1">
        <v>45019</v>
      </c>
      <c r="B220" t="s">
        <v>15</v>
      </c>
      <c r="C220" t="s">
        <v>23</v>
      </c>
      <c r="D220" t="s">
        <v>12</v>
      </c>
      <c r="E220">
        <v>39</v>
      </c>
      <c r="F220">
        <v>4</v>
      </c>
      <c r="G220">
        <v>564</v>
      </c>
      <c r="H220">
        <v>15</v>
      </c>
      <c r="I220" t="s">
        <v>13</v>
      </c>
      <c r="J220" s="3">
        <v>1917.6</v>
      </c>
      <c r="K220" t="str">
        <f t="shared" si="3"/>
        <v>Adult</v>
      </c>
    </row>
    <row r="221" spans="1:11" x14ac:dyDescent="0.25">
      <c r="A221" s="1">
        <v>44929</v>
      </c>
      <c r="B221" t="s">
        <v>10</v>
      </c>
      <c r="C221" t="s">
        <v>11</v>
      </c>
      <c r="D221" t="s">
        <v>12</v>
      </c>
      <c r="E221">
        <v>41</v>
      </c>
      <c r="F221">
        <v>4</v>
      </c>
      <c r="G221">
        <v>1162</v>
      </c>
      <c r="H221">
        <v>5</v>
      </c>
      <c r="I221" t="s">
        <v>13</v>
      </c>
      <c r="J221" s="3">
        <v>4415.5999999999995</v>
      </c>
      <c r="K221" t="str">
        <f t="shared" si="3"/>
        <v>Adult</v>
      </c>
    </row>
    <row r="222" spans="1:11" x14ac:dyDescent="0.25">
      <c r="A222" s="1">
        <v>45074</v>
      </c>
      <c r="B222" t="s">
        <v>10</v>
      </c>
      <c r="C222" t="s">
        <v>11</v>
      </c>
      <c r="D222" t="s">
        <v>12</v>
      </c>
      <c r="E222">
        <v>34</v>
      </c>
      <c r="F222">
        <v>4</v>
      </c>
      <c r="G222">
        <v>916</v>
      </c>
      <c r="H222">
        <v>20</v>
      </c>
      <c r="I222" t="s">
        <v>19</v>
      </c>
      <c r="J222" s="3">
        <v>2931.2000000000003</v>
      </c>
      <c r="K222" t="str">
        <f t="shared" si="3"/>
        <v>Young Adult</v>
      </c>
    </row>
    <row r="223" spans="1:11" x14ac:dyDescent="0.25">
      <c r="A223" s="1">
        <v>45090</v>
      </c>
      <c r="B223" t="s">
        <v>10</v>
      </c>
      <c r="C223" t="s">
        <v>18</v>
      </c>
      <c r="D223" t="s">
        <v>12</v>
      </c>
      <c r="E223">
        <v>27</v>
      </c>
      <c r="F223">
        <v>2</v>
      </c>
      <c r="G223">
        <v>1264</v>
      </c>
      <c r="H223">
        <v>15</v>
      </c>
      <c r="I223" t="s">
        <v>19</v>
      </c>
      <c r="J223" s="3">
        <v>2148.7999999999997</v>
      </c>
      <c r="K223" t="str">
        <f t="shared" si="3"/>
        <v>Young Adult</v>
      </c>
    </row>
    <row r="224" spans="1:11" x14ac:dyDescent="0.25">
      <c r="A224" s="1">
        <v>45073</v>
      </c>
      <c r="B224" t="s">
        <v>20</v>
      </c>
      <c r="C224" t="s">
        <v>21</v>
      </c>
      <c r="D224" t="s">
        <v>12</v>
      </c>
      <c r="E224">
        <v>47</v>
      </c>
      <c r="F224">
        <v>4</v>
      </c>
      <c r="G224">
        <v>1088</v>
      </c>
      <c r="H224">
        <v>0</v>
      </c>
      <c r="I224" t="s">
        <v>13</v>
      </c>
      <c r="J224" s="3">
        <v>4352</v>
      </c>
      <c r="K224" t="str">
        <f t="shared" si="3"/>
        <v>Adult</v>
      </c>
    </row>
    <row r="225" spans="1:11" x14ac:dyDescent="0.25">
      <c r="A225" s="1">
        <v>45016</v>
      </c>
      <c r="B225" t="s">
        <v>15</v>
      </c>
      <c r="C225" t="s">
        <v>23</v>
      </c>
      <c r="D225" t="s">
        <v>12</v>
      </c>
      <c r="E225">
        <v>40</v>
      </c>
      <c r="F225">
        <v>1</v>
      </c>
      <c r="G225">
        <v>770</v>
      </c>
      <c r="H225">
        <v>5</v>
      </c>
      <c r="I225" t="s">
        <v>16</v>
      </c>
      <c r="J225" s="3">
        <v>731.5</v>
      </c>
      <c r="K225" t="str">
        <f t="shared" si="3"/>
        <v>Adult</v>
      </c>
    </row>
    <row r="226" spans="1:11" x14ac:dyDescent="0.25">
      <c r="A226" s="1">
        <v>45073</v>
      </c>
      <c r="B226" t="s">
        <v>20</v>
      </c>
      <c r="C226" t="s">
        <v>21</v>
      </c>
      <c r="D226" t="s">
        <v>14</v>
      </c>
      <c r="E226">
        <v>49</v>
      </c>
      <c r="F226">
        <v>6</v>
      </c>
      <c r="G226">
        <v>1309</v>
      </c>
      <c r="H226">
        <v>20</v>
      </c>
      <c r="I226" t="s">
        <v>19</v>
      </c>
      <c r="J226" s="3">
        <v>6283.2000000000007</v>
      </c>
      <c r="K226" t="str">
        <f t="shared" si="3"/>
        <v>Adult</v>
      </c>
    </row>
    <row r="227" spans="1:11" x14ac:dyDescent="0.25">
      <c r="A227" s="1">
        <v>45074</v>
      </c>
      <c r="B227" t="s">
        <v>20</v>
      </c>
      <c r="C227" t="s">
        <v>21</v>
      </c>
      <c r="D227" t="s">
        <v>14</v>
      </c>
      <c r="E227">
        <v>34</v>
      </c>
      <c r="F227">
        <v>1</v>
      </c>
      <c r="G227">
        <v>1115</v>
      </c>
      <c r="H227">
        <v>5</v>
      </c>
      <c r="I227" t="s">
        <v>16</v>
      </c>
      <c r="J227" s="3">
        <v>1059.25</v>
      </c>
      <c r="K227" t="str">
        <f t="shared" si="3"/>
        <v>Young Adult</v>
      </c>
    </row>
    <row r="228" spans="1:11" x14ac:dyDescent="0.25">
      <c r="A228" s="1">
        <v>45022</v>
      </c>
      <c r="B228" t="s">
        <v>10</v>
      </c>
      <c r="C228" t="s">
        <v>18</v>
      </c>
      <c r="D228" t="s">
        <v>12</v>
      </c>
      <c r="E228">
        <v>34</v>
      </c>
      <c r="F228">
        <v>6</v>
      </c>
      <c r="G228">
        <v>569</v>
      </c>
      <c r="H228">
        <v>0</v>
      </c>
      <c r="I228" t="s">
        <v>16</v>
      </c>
      <c r="J228" s="3">
        <v>3414</v>
      </c>
      <c r="K228" t="str">
        <f t="shared" si="3"/>
        <v>Young Adult</v>
      </c>
    </row>
    <row r="229" spans="1:11" x14ac:dyDescent="0.25">
      <c r="A229" s="1">
        <v>44978</v>
      </c>
      <c r="B229" t="s">
        <v>10</v>
      </c>
      <c r="C229" t="s">
        <v>23</v>
      </c>
      <c r="D229" t="s">
        <v>12</v>
      </c>
      <c r="E229">
        <v>31</v>
      </c>
      <c r="F229">
        <v>1</v>
      </c>
      <c r="G229">
        <v>355</v>
      </c>
      <c r="H229">
        <v>20</v>
      </c>
      <c r="I229" t="s">
        <v>19</v>
      </c>
      <c r="J229" s="3">
        <v>284</v>
      </c>
      <c r="K229" t="str">
        <f t="shared" si="3"/>
        <v>Young Adult</v>
      </c>
    </row>
    <row r="230" spans="1:11" x14ac:dyDescent="0.25">
      <c r="A230" s="1">
        <v>45087</v>
      </c>
      <c r="B230" t="s">
        <v>20</v>
      </c>
      <c r="C230" t="s">
        <v>23</v>
      </c>
      <c r="D230" t="s">
        <v>14</v>
      </c>
      <c r="E230">
        <v>26</v>
      </c>
      <c r="F230">
        <v>6</v>
      </c>
      <c r="G230">
        <v>772</v>
      </c>
      <c r="H230">
        <v>5</v>
      </c>
      <c r="I230" t="s">
        <v>19</v>
      </c>
      <c r="J230" s="3">
        <v>4400.3999999999996</v>
      </c>
      <c r="K230" t="str">
        <f t="shared" si="3"/>
        <v>Young Adult</v>
      </c>
    </row>
    <row r="231" spans="1:11" x14ac:dyDescent="0.25">
      <c r="A231" s="1">
        <v>45094</v>
      </c>
      <c r="B231" t="s">
        <v>15</v>
      </c>
      <c r="C231" t="s">
        <v>22</v>
      </c>
      <c r="D231" t="s">
        <v>12</v>
      </c>
      <c r="E231">
        <v>57</v>
      </c>
      <c r="F231">
        <v>8</v>
      </c>
      <c r="G231">
        <v>321</v>
      </c>
      <c r="H231">
        <v>10</v>
      </c>
      <c r="I231" t="s">
        <v>16</v>
      </c>
      <c r="J231" s="3">
        <v>2311.2000000000003</v>
      </c>
      <c r="K231" t="str">
        <f t="shared" si="3"/>
        <v>Senior</v>
      </c>
    </row>
    <row r="232" spans="1:11" x14ac:dyDescent="0.25">
      <c r="A232" s="1">
        <v>45054</v>
      </c>
      <c r="B232" t="s">
        <v>17</v>
      </c>
      <c r="C232" t="s">
        <v>21</v>
      </c>
      <c r="D232" t="s">
        <v>12</v>
      </c>
      <c r="E232">
        <v>19</v>
      </c>
      <c r="F232">
        <v>2</v>
      </c>
      <c r="G232">
        <v>1319</v>
      </c>
      <c r="H232">
        <v>0</v>
      </c>
      <c r="I232" t="s">
        <v>16</v>
      </c>
      <c r="J232" s="3">
        <v>2638</v>
      </c>
      <c r="K232" t="str">
        <f t="shared" si="3"/>
        <v>Youth</v>
      </c>
    </row>
    <row r="233" spans="1:11" x14ac:dyDescent="0.25">
      <c r="A233" s="1">
        <v>44965</v>
      </c>
      <c r="B233" t="s">
        <v>20</v>
      </c>
      <c r="C233" t="s">
        <v>21</v>
      </c>
      <c r="D233" t="s">
        <v>12</v>
      </c>
      <c r="E233">
        <v>42</v>
      </c>
      <c r="F233">
        <v>2</v>
      </c>
      <c r="G233">
        <v>1354</v>
      </c>
      <c r="H233">
        <v>0</v>
      </c>
      <c r="I233" t="s">
        <v>13</v>
      </c>
      <c r="J233" s="3">
        <v>2708</v>
      </c>
      <c r="K233" t="str">
        <f t="shared" si="3"/>
        <v>Adult</v>
      </c>
    </row>
    <row r="234" spans="1:11" x14ac:dyDescent="0.25">
      <c r="A234" s="1">
        <v>45008</v>
      </c>
      <c r="B234" t="s">
        <v>15</v>
      </c>
      <c r="C234" t="s">
        <v>11</v>
      </c>
      <c r="D234" t="s">
        <v>14</v>
      </c>
      <c r="E234">
        <v>56</v>
      </c>
      <c r="F234">
        <v>4</v>
      </c>
      <c r="G234">
        <v>205</v>
      </c>
      <c r="H234">
        <v>0</v>
      </c>
      <c r="I234" t="s">
        <v>13</v>
      </c>
      <c r="J234" s="3">
        <v>820</v>
      </c>
      <c r="K234" t="str">
        <f t="shared" si="3"/>
        <v>Senior</v>
      </c>
    </row>
    <row r="235" spans="1:11" x14ac:dyDescent="0.25">
      <c r="A235" s="1">
        <v>45030</v>
      </c>
      <c r="B235" t="s">
        <v>10</v>
      </c>
      <c r="C235" t="s">
        <v>22</v>
      </c>
      <c r="D235" t="s">
        <v>14</v>
      </c>
      <c r="E235">
        <v>26</v>
      </c>
      <c r="F235">
        <v>3</v>
      </c>
      <c r="G235">
        <v>296</v>
      </c>
      <c r="H235">
        <v>10</v>
      </c>
      <c r="I235" t="s">
        <v>19</v>
      </c>
      <c r="J235" s="3">
        <v>799.2</v>
      </c>
      <c r="K235" t="str">
        <f t="shared" si="3"/>
        <v>Young Adult</v>
      </c>
    </row>
    <row r="236" spans="1:11" x14ac:dyDescent="0.25">
      <c r="A236" s="1">
        <v>45055</v>
      </c>
      <c r="B236" t="s">
        <v>10</v>
      </c>
      <c r="C236" t="s">
        <v>11</v>
      </c>
      <c r="D236" t="s">
        <v>14</v>
      </c>
      <c r="E236">
        <v>39</v>
      </c>
      <c r="F236">
        <v>4</v>
      </c>
      <c r="G236">
        <v>1409</v>
      </c>
      <c r="H236">
        <v>10</v>
      </c>
      <c r="I236" t="s">
        <v>13</v>
      </c>
      <c r="J236" s="3">
        <v>5072.4000000000005</v>
      </c>
      <c r="K236" t="str">
        <f t="shared" si="3"/>
        <v>Adult</v>
      </c>
    </row>
    <row r="237" spans="1:11" x14ac:dyDescent="0.25">
      <c r="A237" s="1">
        <v>44937</v>
      </c>
      <c r="B237" t="s">
        <v>15</v>
      </c>
      <c r="C237" t="s">
        <v>11</v>
      </c>
      <c r="D237" t="s">
        <v>14</v>
      </c>
      <c r="E237">
        <v>21</v>
      </c>
      <c r="F237">
        <v>7</v>
      </c>
      <c r="G237">
        <v>1288</v>
      </c>
      <c r="H237">
        <v>15</v>
      </c>
      <c r="I237" t="s">
        <v>13</v>
      </c>
      <c r="J237" s="3">
        <v>7663.5999999999995</v>
      </c>
      <c r="K237" t="str">
        <f t="shared" si="3"/>
        <v>Youth</v>
      </c>
    </row>
    <row r="238" spans="1:11" x14ac:dyDescent="0.25">
      <c r="A238" s="1">
        <v>45104</v>
      </c>
      <c r="B238" t="s">
        <v>17</v>
      </c>
      <c r="C238" t="s">
        <v>11</v>
      </c>
      <c r="D238" t="s">
        <v>14</v>
      </c>
      <c r="E238">
        <v>43</v>
      </c>
      <c r="F238">
        <v>1</v>
      </c>
      <c r="G238">
        <v>1142</v>
      </c>
      <c r="H238">
        <v>5</v>
      </c>
      <c r="I238" t="s">
        <v>13</v>
      </c>
      <c r="J238" s="3">
        <v>1084.8999999999999</v>
      </c>
      <c r="K238" t="str">
        <f t="shared" si="3"/>
        <v>Adult</v>
      </c>
    </row>
    <row r="239" spans="1:11" x14ac:dyDescent="0.25">
      <c r="A239" s="1">
        <v>45077</v>
      </c>
      <c r="B239" t="s">
        <v>10</v>
      </c>
      <c r="C239" t="s">
        <v>18</v>
      </c>
      <c r="D239" t="s">
        <v>12</v>
      </c>
      <c r="E239">
        <v>46</v>
      </c>
      <c r="F239">
        <v>6</v>
      </c>
      <c r="G239">
        <v>1326</v>
      </c>
      <c r="H239">
        <v>15</v>
      </c>
      <c r="I239" t="s">
        <v>13</v>
      </c>
      <c r="J239" s="3">
        <v>6762.5999999999995</v>
      </c>
      <c r="K239" t="str">
        <f t="shared" si="3"/>
        <v>Adult</v>
      </c>
    </row>
    <row r="240" spans="1:11" x14ac:dyDescent="0.25">
      <c r="A240" s="1">
        <v>45085</v>
      </c>
      <c r="B240" t="s">
        <v>10</v>
      </c>
      <c r="C240" t="s">
        <v>18</v>
      </c>
      <c r="D240" t="s">
        <v>14</v>
      </c>
      <c r="E240">
        <v>51</v>
      </c>
      <c r="F240">
        <v>3</v>
      </c>
      <c r="G240">
        <v>1287</v>
      </c>
      <c r="H240">
        <v>5</v>
      </c>
      <c r="I240" t="s">
        <v>16</v>
      </c>
      <c r="J240" s="3">
        <v>3667.95</v>
      </c>
      <c r="K240" t="str">
        <f t="shared" si="3"/>
        <v>Senior</v>
      </c>
    </row>
    <row r="241" spans="1:11" x14ac:dyDescent="0.25">
      <c r="A241" s="1">
        <v>44968</v>
      </c>
      <c r="B241" t="s">
        <v>10</v>
      </c>
      <c r="C241" t="s">
        <v>11</v>
      </c>
      <c r="D241" t="s">
        <v>12</v>
      </c>
      <c r="E241">
        <v>40</v>
      </c>
      <c r="F241">
        <v>7</v>
      </c>
      <c r="G241">
        <v>574</v>
      </c>
      <c r="H241">
        <v>10</v>
      </c>
      <c r="I241" t="s">
        <v>19</v>
      </c>
      <c r="J241" s="3">
        <v>3616.2000000000003</v>
      </c>
      <c r="K241" t="str">
        <f t="shared" si="3"/>
        <v>Adult</v>
      </c>
    </row>
    <row r="242" spans="1:11" x14ac:dyDescent="0.25">
      <c r="A242" s="1">
        <v>45025</v>
      </c>
      <c r="B242" t="s">
        <v>15</v>
      </c>
      <c r="C242" t="s">
        <v>22</v>
      </c>
      <c r="D242" t="s">
        <v>12</v>
      </c>
      <c r="E242">
        <v>54</v>
      </c>
      <c r="F242">
        <v>2</v>
      </c>
      <c r="G242">
        <v>506</v>
      </c>
      <c r="H242">
        <v>10</v>
      </c>
      <c r="I242" t="s">
        <v>13</v>
      </c>
      <c r="J242" s="3">
        <v>910.80000000000007</v>
      </c>
      <c r="K242" t="str">
        <f t="shared" si="3"/>
        <v>Senior</v>
      </c>
    </row>
    <row r="243" spans="1:11" x14ac:dyDescent="0.25">
      <c r="A243" s="1">
        <v>44933</v>
      </c>
      <c r="B243" t="s">
        <v>20</v>
      </c>
      <c r="C243" t="s">
        <v>21</v>
      </c>
      <c r="D243" t="s">
        <v>14</v>
      </c>
      <c r="E243">
        <v>28</v>
      </c>
      <c r="F243">
        <v>2</v>
      </c>
      <c r="G243">
        <v>1281</v>
      </c>
      <c r="H243">
        <v>15</v>
      </c>
      <c r="I243" t="s">
        <v>16</v>
      </c>
      <c r="J243" s="3">
        <v>2177.6999999999998</v>
      </c>
      <c r="K243" t="str">
        <f t="shared" si="3"/>
        <v>Young Adult</v>
      </c>
    </row>
    <row r="244" spans="1:11" x14ac:dyDescent="0.25">
      <c r="A244" s="1">
        <v>45070</v>
      </c>
      <c r="B244" t="s">
        <v>10</v>
      </c>
      <c r="C244" t="s">
        <v>22</v>
      </c>
      <c r="D244" t="s">
        <v>14</v>
      </c>
      <c r="E244">
        <v>23</v>
      </c>
      <c r="F244">
        <v>4</v>
      </c>
      <c r="G244">
        <v>998</v>
      </c>
      <c r="H244">
        <v>20</v>
      </c>
      <c r="I244" t="s">
        <v>16</v>
      </c>
      <c r="J244" s="3">
        <v>3193.6000000000004</v>
      </c>
      <c r="K244" t="str">
        <f t="shared" si="3"/>
        <v>Youth</v>
      </c>
    </row>
    <row r="245" spans="1:11" x14ac:dyDescent="0.25">
      <c r="A245" s="1">
        <v>45016</v>
      </c>
      <c r="B245" t="s">
        <v>20</v>
      </c>
      <c r="C245" t="s">
        <v>23</v>
      </c>
      <c r="D245" t="s">
        <v>12</v>
      </c>
      <c r="E245">
        <v>35</v>
      </c>
      <c r="F245">
        <v>1</v>
      </c>
      <c r="G245">
        <v>1397</v>
      </c>
      <c r="H245">
        <v>15</v>
      </c>
      <c r="I245" t="s">
        <v>16</v>
      </c>
      <c r="J245" s="3">
        <v>1187.45</v>
      </c>
      <c r="K245" t="str">
        <f t="shared" si="3"/>
        <v>Adult</v>
      </c>
    </row>
    <row r="246" spans="1:11" x14ac:dyDescent="0.25">
      <c r="A246" s="1">
        <v>45038</v>
      </c>
      <c r="B246" t="s">
        <v>17</v>
      </c>
      <c r="C246" t="s">
        <v>18</v>
      </c>
      <c r="D246" t="s">
        <v>12</v>
      </c>
      <c r="E246">
        <v>38</v>
      </c>
      <c r="F246">
        <v>3</v>
      </c>
      <c r="G246">
        <v>230</v>
      </c>
      <c r="H246">
        <v>5</v>
      </c>
      <c r="I246" t="s">
        <v>13</v>
      </c>
      <c r="J246" s="3">
        <v>655.5</v>
      </c>
      <c r="K246" t="str">
        <f t="shared" si="3"/>
        <v>Adult</v>
      </c>
    </row>
    <row r="247" spans="1:11" x14ac:dyDescent="0.25">
      <c r="A247" s="1">
        <v>44986</v>
      </c>
      <c r="B247" t="s">
        <v>10</v>
      </c>
      <c r="C247" t="s">
        <v>21</v>
      </c>
      <c r="D247" t="s">
        <v>12</v>
      </c>
      <c r="E247">
        <v>59</v>
      </c>
      <c r="F247">
        <v>9</v>
      </c>
      <c r="G247">
        <v>463</v>
      </c>
      <c r="H247">
        <v>15</v>
      </c>
      <c r="I247" t="s">
        <v>13</v>
      </c>
      <c r="J247" s="3">
        <v>3541.95</v>
      </c>
      <c r="K247" t="str">
        <f t="shared" si="3"/>
        <v>Senior</v>
      </c>
    </row>
    <row r="248" spans="1:11" x14ac:dyDescent="0.25">
      <c r="A248" s="1">
        <v>45039</v>
      </c>
      <c r="B248" t="s">
        <v>10</v>
      </c>
      <c r="C248" t="s">
        <v>21</v>
      </c>
      <c r="D248" t="s">
        <v>14</v>
      </c>
      <c r="E248">
        <v>53</v>
      </c>
      <c r="F248">
        <v>7</v>
      </c>
      <c r="G248">
        <v>387</v>
      </c>
      <c r="H248">
        <v>0</v>
      </c>
      <c r="I248" t="s">
        <v>19</v>
      </c>
      <c r="J248" s="3">
        <v>2709</v>
      </c>
      <c r="K248" t="str">
        <f t="shared" si="3"/>
        <v>Senior</v>
      </c>
    </row>
    <row r="249" spans="1:11" x14ac:dyDescent="0.25">
      <c r="A249" s="1">
        <v>44928</v>
      </c>
      <c r="B249" t="s">
        <v>17</v>
      </c>
      <c r="C249" t="s">
        <v>23</v>
      </c>
      <c r="D249" t="s">
        <v>14</v>
      </c>
      <c r="E249">
        <v>58</v>
      </c>
      <c r="F249">
        <v>7</v>
      </c>
      <c r="G249">
        <v>1439</v>
      </c>
      <c r="H249">
        <v>5</v>
      </c>
      <c r="I249" t="s">
        <v>13</v>
      </c>
      <c r="J249" s="3">
        <v>9569.35</v>
      </c>
      <c r="K249" t="str">
        <f t="shared" si="3"/>
        <v>Senior</v>
      </c>
    </row>
    <row r="250" spans="1:11" x14ac:dyDescent="0.25">
      <c r="A250" s="1">
        <v>45055</v>
      </c>
      <c r="B250" t="s">
        <v>10</v>
      </c>
      <c r="C250" t="s">
        <v>23</v>
      </c>
      <c r="D250" t="s">
        <v>14</v>
      </c>
      <c r="E250">
        <v>55</v>
      </c>
      <c r="F250">
        <v>4</v>
      </c>
      <c r="G250">
        <v>825</v>
      </c>
      <c r="H250">
        <v>5</v>
      </c>
      <c r="I250" t="s">
        <v>13</v>
      </c>
      <c r="J250" s="3">
        <v>3135</v>
      </c>
      <c r="K250" t="str">
        <f t="shared" si="3"/>
        <v>Senior</v>
      </c>
    </row>
    <row r="251" spans="1:11" x14ac:dyDescent="0.25">
      <c r="A251" s="1">
        <v>44974</v>
      </c>
      <c r="B251" t="s">
        <v>20</v>
      </c>
      <c r="C251" t="s">
        <v>11</v>
      </c>
      <c r="D251" t="s">
        <v>14</v>
      </c>
      <c r="E251">
        <v>51</v>
      </c>
      <c r="F251">
        <v>2</v>
      </c>
      <c r="G251">
        <v>971</v>
      </c>
      <c r="H251">
        <v>20</v>
      </c>
      <c r="I251" t="s">
        <v>16</v>
      </c>
      <c r="J251" s="3">
        <v>1553.6000000000001</v>
      </c>
      <c r="K251" t="str">
        <f t="shared" si="3"/>
        <v>Senior</v>
      </c>
    </row>
    <row r="252" spans="1:11" x14ac:dyDescent="0.25">
      <c r="A252" s="1">
        <v>45066</v>
      </c>
      <c r="B252" t="s">
        <v>15</v>
      </c>
      <c r="C252" t="s">
        <v>18</v>
      </c>
      <c r="D252" t="s">
        <v>14</v>
      </c>
      <c r="E252">
        <v>34</v>
      </c>
      <c r="F252">
        <v>4</v>
      </c>
      <c r="G252">
        <v>454</v>
      </c>
      <c r="H252">
        <v>10</v>
      </c>
      <c r="I252" t="s">
        <v>19</v>
      </c>
      <c r="J252" s="3">
        <v>1634.4</v>
      </c>
      <c r="K252" t="str">
        <f t="shared" si="3"/>
        <v>Young Adult</v>
      </c>
    </row>
    <row r="253" spans="1:11" x14ac:dyDescent="0.25">
      <c r="A253" s="1">
        <v>44963</v>
      </c>
      <c r="B253" t="s">
        <v>20</v>
      </c>
      <c r="C253" t="s">
        <v>18</v>
      </c>
      <c r="D253" t="s">
        <v>12</v>
      </c>
      <c r="E253">
        <v>54</v>
      </c>
      <c r="F253">
        <v>6</v>
      </c>
      <c r="G253">
        <v>1111</v>
      </c>
      <c r="H253">
        <v>5</v>
      </c>
      <c r="I253" t="s">
        <v>13</v>
      </c>
      <c r="J253" s="3">
        <v>6332.7</v>
      </c>
      <c r="K253" t="str">
        <f t="shared" si="3"/>
        <v>Senior</v>
      </c>
    </row>
    <row r="254" spans="1:11" x14ac:dyDescent="0.25">
      <c r="A254" s="1">
        <v>45086</v>
      </c>
      <c r="B254" t="s">
        <v>15</v>
      </c>
      <c r="C254" t="s">
        <v>22</v>
      </c>
      <c r="D254" t="s">
        <v>14</v>
      </c>
      <c r="E254">
        <v>42</v>
      </c>
      <c r="F254">
        <v>3</v>
      </c>
      <c r="G254">
        <v>1444</v>
      </c>
      <c r="H254">
        <v>10</v>
      </c>
      <c r="I254" t="s">
        <v>13</v>
      </c>
      <c r="J254" s="3">
        <v>3898.8</v>
      </c>
      <c r="K254" t="str">
        <f t="shared" si="3"/>
        <v>Adult</v>
      </c>
    </row>
    <row r="255" spans="1:11" x14ac:dyDescent="0.25">
      <c r="A255" s="1">
        <v>44935</v>
      </c>
      <c r="B255" t="s">
        <v>15</v>
      </c>
      <c r="C255" t="s">
        <v>11</v>
      </c>
      <c r="D255" t="s">
        <v>12</v>
      </c>
      <c r="E255">
        <v>55</v>
      </c>
      <c r="F255">
        <v>1</v>
      </c>
      <c r="G255">
        <v>208</v>
      </c>
      <c r="H255">
        <v>15</v>
      </c>
      <c r="I255" t="s">
        <v>16</v>
      </c>
      <c r="J255" s="3">
        <v>176.79999999999998</v>
      </c>
      <c r="K255" t="str">
        <f t="shared" si="3"/>
        <v>Senior</v>
      </c>
    </row>
    <row r="256" spans="1:11" x14ac:dyDescent="0.25">
      <c r="A256" s="1">
        <v>45025</v>
      </c>
      <c r="B256" t="s">
        <v>20</v>
      </c>
      <c r="C256" t="s">
        <v>11</v>
      </c>
      <c r="D256" t="s">
        <v>12</v>
      </c>
      <c r="E256">
        <v>29</v>
      </c>
      <c r="F256">
        <v>8</v>
      </c>
      <c r="G256">
        <v>1094</v>
      </c>
      <c r="H256">
        <v>0</v>
      </c>
      <c r="I256" t="s">
        <v>16</v>
      </c>
      <c r="J256" s="3">
        <v>8752</v>
      </c>
      <c r="K256" t="str">
        <f t="shared" si="3"/>
        <v>Young Adult</v>
      </c>
    </row>
    <row r="257" spans="1:11" x14ac:dyDescent="0.25">
      <c r="A257" s="1">
        <v>45073</v>
      </c>
      <c r="B257" t="s">
        <v>20</v>
      </c>
      <c r="C257" t="s">
        <v>11</v>
      </c>
      <c r="D257" t="s">
        <v>12</v>
      </c>
      <c r="E257">
        <v>40</v>
      </c>
      <c r="F257">
        <v>5</v>
      </c>
      <c r="G257">
        <v>748</v>
      </c>
      <c r="H257">
        <v>20</v>
      </c>
      <c r="I257" t="s">
        <v>13</v>
      </c>
      <c r="J257" s="3">
        <v>2992</v>
      </c>
      <c r="K257" t="str">
        <f t="shared" si="3"/>
        <v>Adult</v>
      </c>
    </row>
    <row r="258" spans="1:11" x14ac:dyDescent="0.25">
      <c r="A258" s="1">
        <v>44974</v>
      </c>
      <c r="B258" t="s">
        <v>20</v>
      </c>
      <c r="C258" t="s">
        <v>11</v>
      </c>
      <c r="D258" t="s">
        <v>14</v>
      </c>
      <c r="E258">
        <v>59</v>
      </c>
      <c r="F258">
        <v>5</v>
      </c>
      <c r="G258">
        <v>1455</v>
      </c>
      <c r="H258">
        <v>10</v>
      </c>
      <c r="I258" t="s">
        <v>19</v>
      </c>
      <c r="J258" s="3">
        <v>6547.5</v>
      </c>
      <c r="K258" t="str">
        <f t="shared" si="3"/>
        <v>Senior</v>
      </c>
    </row>
    <row r="259" spans="1:11" x14ac:dyDescent="0.25">
      <c r="A259" s="1">
        <v>45057</v>
      </c>
      <c r="B259" t="s">
        <v>20</v>
      </c>
      <c r="C259" t="s">
        <v>18</v>
      </c>
      <c r="D259" t="s">
        <v>14</v>
      </c>
      <c r="E259">
        <v>39</v>
      </c>
      <c r="F259">
        <v>4</v>
      </c>
      <c r="G259">
        <v>1461</v>
      </c>
      <c r="H259">
        <v>5</v>
      </c>
      <c r="I259" t="s">
        <v>19</v>
      </c>
      <c r="J259" s="3">
        <v>5551.8</v>
      </c>
      <c r="K259" t="str">
        <f t="shared" ref="K259:K301" si="4">IF(AND(E259&lt;=24,E259&gt;=15),"Youth",IF(AND(E259&lt;=34,E259&gt;=25),"Young Adult",IF(AND(E259&gt;=35,E259&lt;=49),"Adult","Senior")))</f>
        <v>Adult</v>
      </c>
    </row>
    <row r="260" spans="1:11" x14ac:dyDescent="0.25">
      <c r="A260" s="1">
        <v>45074</v>
      </c>
      <c r="B260" t="s">
        <v>17</v>
      </c>
      <c r="C260" t="s">
        <v>18</v>
      </c>
      <c r="D260" t="s">
        <v>14</v>
      </c>
      <c r="E260">
        <v>38</v>
      </c>
      <c r="F260">
        <v>6</v>
      </c>
      <c r="G260">
        <v>596</v>
      </c>
      <c r="H260">
        <v>10</v>
      </c>
      <c r="I260" t="s">
        <v>16</v>
      </c>
      <c r="J260" s="3">
        <v>3218.4</v>
      </c>
      <c r="K260" t="str">
        <f t="shared" si="4"/>
        <v>Adult</v>
      </c>
    </row>
    <row r="261" spans="1:11" x14ac:dyDescent="0.25">
      <c r="A261" s="1">
        <v>45078</v>
      </c>
      <c r="B261" t="s">
        <v>10</v>
      </c>
      <c r="C261" t="s">
        <v>11</v>
      </c>
      <c r="D261" t="s">
        <v>12</v>
      </c>
      <c r="E261">
        <v>44</v>
      </c>
      <c r="F261">
        <v>3</v>
      </c>
      <c r="G261">
        <v>165</v>
      </c>
      <c r="H261">
        <v>5</v>
      </c>
      <c r="I261" t="s">
        <v>16</v>
      </c>
      <c r="J261" s="3">
        <v>470.25</v>
      </c>
      <c r="K261" t="str">
        <f t="shared" si="4"/>
        <v>Adult</v>
      </c>
    </row>
    <row r="262" spans="1:11" x14ac:dyDescent="0.25">
      <c r="A262" s="1">
        <v>44980</v>
      </c>
      <c r="B262" t="s">
        <v>15</v>
      </c>
      <c r="C262" t="s">
        <v>22</v>
      </c>
      <c r="D262" t="s">
        <v>12</v>
      </c>
      <c r="E262">
        <v>48</v>
      </c>
      <c r="F262">
        <v>9</v>
      </c>
      <c r="G262">
        <v>1278</v>
      </c>
      <c r="H262">
        <v>10</v>
      </c>
      <c r="I262" t="s">
        <v>13</v>
      </c>
      <c r="J262" s="3">
        <v>10351.800000000001</v>
      </c>
      <c r="K262" t="str">
        <f t="shared" si="4"/>
        <v>Adult</v>
      </c>
    </row>
    <row r="263" spans="1:11" x14ac:dyDescent="0.25">
      <c r="A263" s="1">
        <v>45046</v>
      </c>
      <c r="B263" t="s">
        <v>20</v>
      </c>
      <c r="C263" t="s">
        <v>21</v>
      </c>
      <c r="D263" t="s">
        <v>12</v>
      </c>
      <c r="E263">
        <v>23</v>
      </c>
      <c r="F263">
        <v>5</v>
      </c>
      <c r="G263">
        <v>1296</v>
      </c>
      <c r="H263">
        <v>5</v>
      </c>
      <c r="I263" t="s">
        <v>16</v>
      </c>
      <c r="J263" s="3">
        <v>6156</v>
      </c>
      <c r="K263" t="str">
        <f t="shared" si="4"/>
        <v>Youth</v>
      </c>
    </row>
    <row r="264" spans="1:11" x14ac:dyDescent="0.25">
      <c r="A264" s="1">
        <v>45087</v>
      </c>
      <c r="B264" t="s">
        <v>20</v>
      </c>
      <c r="C264" t="s">
        <v>21</v>
      </c>
      <c r="D264" t="s">
        <v>12</v>
      </c>
      <c r="E264">
        <v>44</v>
      </c>
      <c r="F264">
        <v>3</v>
      </c>
      <c r="G264">
        <v>390</v>
      </c>
      <c r="H264">
        <v>15</v>
      </c>
      <c r="I264" t="s">
        <v>13</v>
      </c>
      <c r="J264" s="3">
        <v>994.5</v>
      </c>
      <c r="K264" t="str">
        <f t="shared" si="4"/>
        <v>Adult</v>
      </c>
    </row>
    <row r="265" spans="1:11" x14ac:dyDescent="0.25">
      <c r="A265" s="1">
        <v>45078</v>
      </c>
      <c r="B265" t="s">
        <v>20</v>
      </c>
      <c r="C265" t="s">
        <v>22</v>
      </c>
      <c r="D265" t="s">
        <v>12</v>
      </c>
      <c r="E265">
        <v>57</v>
      </c>
      <c r="F265">
        <v>1</v>
      </c>
      <c r="G265">
        <v>1222</v>
      </c>
      <c r="H265">
        <v>5</v>
      </c>
      <c r="I265" t="s">
        <v>19</v>
      </c>
      <c r="J265" s="3">
        <v>1160.8999999999999</v>
      </c>
      <c r="K265" t="str">
        <f t="shared" si="4"/>
        <v>Senior</v>
      </c>
    </row>
    <row r="266" spans="1:11" x14ac:dyDescent="0.25">
      <c r="A266" s="1">
        <v>45042</v>
      </c>
      <c r="B266" t="s">
        <v>17</v>
      </c>
      <c r="C266" t="s">
        <v>11</v>
      </c>
      <c r="D266" t="s">
        <v>12</v>
      </c>
      <c r="E266">
        <v>51</v>
      </c>
      <c r="F266">
        <v>6</v>
      </c>
      <c r="G266">
        <v>1321</v>
      </c>
      <c r="H266">
        <v>5</v>
      </c>
      <c r="I266" t="s">
        <v>19</v>
      </c>
      <c r="J266" s="3">
        <v>7529.7</v>
      </c>
      <c r="K266" t="str">
        <f t="shared" si="4"/>
        <v>Senior</v>
      </c>
    </row>
    <row r="267" spans="1:11" x14ac:dyDescent="0.25">
      <c r="A267" s="1">
        <v>45001</v>
      </c>
      <c r="B267" t="s">
        <v>20</v>
      </c>
      <c r="C267" t="s">
        <v>18</v>
      </c>
      <c r="D267" t="s">
        <v>14</v>
      </c>
      <c r="E267">
        <v>29</v>
      </c>
      <c r="F267">
        <v>2</v>
      </c>
      <c r="G267">
        <v>506</v>
      </c>
      <c r="H267">
        <v>0</v>
      </c>
      <c r="I267" t="s">
        <v>13</v>
      </c>
      <c r="J267" s="3">
        <v>1012</v>
      </c>
      <c r="K267" t="str">
        <f t="shared" si="4"/>
        <v>Young Adult</v>
      </c>
    </row>
    <row r="268" spans="1:11" x14ac:dyDescent="0.25">
      <c r="A268" s="1">
        <v>45039</v>
      </c>
      <c r="B268" t="s">
        <v>20</v>
      </c>
      <c r="C268" t="s">
        <v>21</v>
      </c>
      <c r="D268" t="s">
        <v>14</v>
      </c>
      <c r="E268">
        <v>24</v>
      </c>
      <c r="F268">
        <v>3</v>
      </c>
      <c r="G268">
        <v>193</v>
      </c>
      <c r="H268">
        <v>5</v>
      </c>
      <c r="I268" t="s">
        <v>16</v>
      </c>
      <c r="J268" s="3">
        <v>550.04999999999995</v>
      </c>
      <c r="K268" t="str">
        <f t="shared" si="4"/>
        <v>Youth</v>
      </c>
    </row>
    <row r="269" spans="1:11" x14ac:dyDescent="0.25">
      <c r="A269" s="1">
        <v>45090</v>
      </c>
      <c r="B269" t="s">
        <v>20</v>
      </c>
      <c r="C269" t="s">
        <v>23</v>
      </c>
      <c r="D269" t="s">
        <v>14</v>
      </c>
      <c r="E269">
        <v>27</v>
      </c>
      <c r="F269">
        <v>1</v>
      </c>
      <c r="G269">
        <v>1248</v>
      </c>
      <c r="H269">
        <v>0</v>
      </c>
      <c r="I269" t="s">
        <v>19</v>
      </c>
      <c r="J269" s="3">
        <v>1248</v>
      </c>
      <c r="K269" t="str">
        <f t="shared" si="4"/>
        <v>Young Adult</v>
      </c>
    </row>
    <row r="270" spans="1:11" x14ac:dyDescent="0.25">
      <c r="A270" s="1">
        <v>45092</v>
      </c>
      <c r="B270" t="s">
        <v>10</v>
      </c>
      <c r="C270" t="s">
        <v>23</v>
      </c>
      <c r="D270" t="s">
        <v>14</v>
      </c>
      <c r="E270">
        <v>34</v>
      </c>
      <c r="F270">
        <v>9</v>
      </c>
      <c r="G270">
        <v>382</v>
      </c>
      <c r="H270">
        <v>20</v>
      </c>
      <c r="I270" t="s">
        <v>16</v>
      </c>
      <c r="J270" s="3">
        <v>2750.4</v>
      </c>
      <c r="K270" t="str">
        <f t="shared" si="4"/>
        <v>Young Adult</v>
      </c>
    </row>
    <row r="271" spans="1:11" x14ac:dyDescent="0.25">
      <c r="A271" s="1">
        <v>45030</v>
      </c>
      <c r="B271" t="s">
        <v>17</v>
      </c>
      <c r="C271" t="s">
        <v>22</v>
      </c>
      <c r="D271" t="s">
        <v>12</v>
      </c>
      <c r="E271">
        <v>43</v>
      </c>
      <c r="F271">
        <v>8</v>
      </c>
      <c r="G271">
        <v>823</v>
      </c>
      <c r="H271">
        <v>0</v>
      </c>
      <c r="I271" t="s">
        <v>19</v>
      </c>
      <c r="J271" s="3">
        <v>6584</v>
      </c>
      <c r="K271" t="str">
        <f t="shared" si="4"/>
        <v>Adult</v>
      </c>
    </row>
    <row r="272" spans="1:11" x14ac:dyDescent="0.25">
      <c r="A272" s="1">
        <v>45010</v>
      </c>
      <c r="B272" t="s">
        <v>20</v>
      </c>
      <c r="C272" t="s">
        <v>11</v>
      </c>
      <c r="D272" t="s">
        <v>12</v>
      </c>
      <c r="E272">
        <v>38</v>
      </c>
      <c r="F272">
        <v>2</v>
      </c>
      <c r="G272">
        <v>667</v>
      </c>
      <c r="H272">
        <v>15</v>
      </c>
      <c r="I272" t="s">
        <v>13</v>
      </c>
      <c r="J272" s="3">
        <v>1133.8999999999999</v>
      </c>
      <c r="K272" t="str">
        <f t="shared" si="4"/>
        <v>Adult</v>
      </c>
    </row>
    <row r="273" spans="1:11" x14ac:dyDescent="0.25">
      <c r="A273" s="1">
        <v>45038</v>
      </c>
      <c r="B273" t="s">
        <v>15</v>
      </c>
      <c r="C273" t="s">
        <v>21</v>
      </c>
      <c r="D273" t="s">
        <v>14</v>
      </c>
      <c r="E273">
        <v>45</v>
      </c>
      <c r="F273">
        <v>8</v>
      </c>
      <c r="G273">
        <v>1066</v>
      </c>
      <c r="H273">
        <v>0</v>
      </c>
      <c r="I273" t="s">
        <v>13</v>
      </c>
      <c r="J273" s="3">
        <v>8528</v>
      </c>
      <c r="K273" t="str">
        <f t="shared" si="4"/>
        <v>Adult</v>
      </c>
    </row>
    <row r="274" spans="1:11" x14ac:dyDescent="0.25">
      <c r="A274" s="1">
        <v>45025</v>
      </c>
      <c r="B274" t="s">
        <v>15</v>
      </c>
      <c r="C274" t="s">
        <v>11</v>
      </c>
      <c r="D274" t="s">
        <v>12</v>
      </c>
      <c r="E274">
        <v>19</v>
      </c>
      <c r="F274">
        <v>9</v>
      </c>
      <c r="G274">
        <v>424</v>
      </c>
      <c r="H274">
        <v>20</v>
      </c>
      <c r="I274" t="s">
        <v>13</v>
      </c>
      <c r="J274" s="3">
        <v>3052.8</v>
      </c>
      <c r="K274" t="str">
        <f t="shared" si="4"/>
        <v>Youth</v>
      </c>
    </row>
    <row r="275" spans="1:11" x14ac:dyDescent="0.25">
      <c r="A275" s="1">
        <v>45079</v>
      </c>
      <c r="B275" t="s">
        <v>15</v>
      </c>
      <c r="C275" t="s">
        <v>21</v>
      </c>
      <c r="D275" t="s">
        <v>14</v>
      </c>
      <c r="E275">
        <v>18</v>
      </c>
      <c r="F275">
        <v>1</v>
      </c>
      <c r="G275">
        <v>893</v>
      </c>
      <c r="H275">
        <v>15</v>
      </c>
      <c r="I275" t="s">
        <v>19</v>
      </c>
      <c r="J275" s="3">
        <v>759.05</v>
      </c>
      <c r="K275" t="str">
        <f t="shared" si="4"/>
        <v>Youth</v>
      </c>
    </row>
    <row r="276" spans="1:11" x14ac:dyDescent="0.25">
      <c r="A276" s="1">
        <v>45019</v>
      </c>
      <c r="B276" t="s">
        <v>17</v>
      </c>
      <c r="C276" t="s">
        <v>22</v>
      </c>
      <c r="D276" t="s">
        <v>14</v>
      </c>
      <c r="E276">
        <v>53</v>
      </c>
      <c r="F276">
        <v>5</v>
      </c>
      <c r="G276">
        <v>880</v>
      </c>
      <c r="H276">
        <v>10</v>
      </c>
      <c r="I276" t="s">
        <v>16</v>
      </c>
      <c r="J276" s="3">
        <v>3960</v>
      </c>
      <c r="K276" t="str">
        <f t="shared" si="4"/>
        <v>Senior</v>
      </c>
    </row>
    <row r="277" spans="1:11" x14ac:dyDescent="0.25">
      <c r="A277" s="1">
        <v>45072</v>
      </c>
      <c r="B277" t="s">
        <v>17</v>
      </c>
      <c r="C277" t="s">
        <v>22</v>
      </c>
      <c r="D277" t="s">
        <v>14</v>
      </c>
      <c r="E277">
        <v>43</v>
      </c>
      <c r="F277">
        <v>8</v>
      </c>
      <c r="G277">
        <v>1104</v>
      </c>
      <c r="H277">
        <v>10</v>
      </c>
      <c r="I277" t="s">
        <v>16</v>
      </c>
      <c r="J277" s="3">
        <v>7948.8</v>
      </c>
      <c r="K277" t="str">
        <f t="shared" si="4"/>
        <v>Adult</v>
      </c>
    </row>
    <row r="278" spans="1:11" x14ac:dyDescent="0.25">
      <c r="A278" s="1">
        <v>45054</v>
      </c>
      <c r="B278" t="s">
        <v>15</v>
      </c>
      <c r="C278" t="s">
        <v>23</v>
      </c>
      <c r="D278" t="s">
        <v>12</v>
      </c>
      <c r="E278">
        <v>46</v>
      </c>
      <c r="F278">
        <v>2</v>
      </c>
      <c r="G278">
        <v>1250</v>
      </c>
      <c r="H278">
        <v>0</v>
      </c>
      <c r="I278" t="s">
        <v>16</v>
      </c>
      <c r="J278" s="3">
        <v>2500</v>
      </c>
      <c r="K278" t="str">
        <f t="shared" si="4"/>
        <v>Adult</v>
      </c>
    </row>
    <row r="279" spans="1:11" x14ac:dyDescent="0.25">
      <c r="A279" s="1">
        <v>45036</v>
      </c>
      <c r="B279" t="s">
        <v>20</v>
      </c>
      <c r="C279" t="s">
        <v>11</v>
      </c>
      <c r="D279" t="s">
        <v>14</v>
      </c>
      <c r="E279">
        <v>38</v>
      </c>
      <c r="F279">
        <v>4</v>
      </c>
      <c r="G279">
        <v>1390</v>
      </c>
      <c r="H279">
        <v>0</v>
      </c>
      <c r="I279" t="s">
        <v>19</v>
      </c>
      <c r="J279" s="3">
        <v>5560</v>
      </c>
      <c r="K279" t="str">
        <f t="shared" si="4"/>
        <v>Adult</v>
      </c>
    </row>
    <row r="280" spans="1:11" x14ac:dyDescent="0.25">
      <c r="A280" s="1">
        <v>45008</v>
      </c>
      <c r="B280" t="s">
        <v>17</v>
      </c>
      <c r="C280" t="s">
        <v>23</v>
      </c>
      <c r="D280" t="s">
        <v>14</v>
      </c>
      <c r="E280">
        <v>28</v>
      </c>
      <c r="F280">
        <v>7</v>
      </c>
      <c r="G280">
        <v>1156</v>
      </c>
      <c r="H280">
        <v>20</v>
      </c>
      <c r="I280" t="s">
        <v>19</v>
      </c>
      <c r="J280" s="3">
        <v>6473.6</v>
      </c>
      <c r="K280" t="str">
        <f t="shared" si="4"/>
        <v>Young Adult</v>
      </c>
    </row>
    <row r="281" spans="1:11" x14ac:dyDescent="0.25">
      <c r="A281" s="1">
        <v>44980</v>
      </c>
      <c r="B281" t="s">
        <v>15</v>
      </c>
      <c r="C281" t="s">
        <v>11</v>
      </c>
      <c r="D281" t="s">
        <v>14</v>
      </c>
      <c r="E281">
        <v>57</v>
      </c>
      <c r="F281">
        <v>3</v>
      </c>
      <c r="G281">
        <v>1407</v>
      </c>
      <c r="H281">
        <v>20</v>
      </c>
      <c r="I281" t="s">
        <v>19</v>
      </c>
      <c r="J281" s="3">
        <v>3376.8</v>
      </c>
      <c r="K281" t="str">
        <f t="shared" si="4"/>
        <v>Senior</v>
      </c>
    </row>
    <row r="282" spans="1:11" x14ac:dyDescent="0.25">
      <c r="A282" s="1">
        <v>45089</v>
      </c>
      <c r="B282" t="s">
        <v>15</v>
      </c>
      <c r="C282" t="s">
        <v>23</v>
      </c>
      <c r="D282" t="s">
        <v>12</v>
      </c>
      <c r="E282">
        <v>28</v>
      </c>
      <c r="F282">
        <v>5</v>
      </c>
      <c r="G282">
        <v>1172</v>
      </c>
      <c r="H282">
        <v>5</v>
      </c>
      <c r="I282" t="s">
        <v>19</v>
      </c>
      <c r="J282" s="3">
        <v>5567</v>
      </c>
      <c r="K282" t="str">
        <f t="shared" si="4"/>
        <v>Young Adult</v>
      </c>
    </row>
    <row r="283" spans="1:11" x14ac:dyDescent="0.25">
      <c r="A283" s="1">
        <v>45095</v>
      </c>
      <c r="B283" t="s">
        <v>20</v>
      </c>
      <c r="C283" t="s">
        <v>18</v>
      </c>
      <c r="D283" t="s">
        <v>12</v>
      </c>
      <c r="E283">
        <v>53</v>
      </c>
      <c r="F283">
        <v>8</v>
      </c>
      <c r="G283">
        <v>440</v>
      </c>
      <c r="H283">
        <v>20</v>
      </c>
      <c r="I283" t="s">
        <v>19</v>
      </c>
      <c r="J283" s="3">
        <v>2816</v>
      </c>
      <c r="K283" t="str">
        <f t="shared" si="4"/>
        <v>Senior</v>
      </c>
    </row>
    <row r="284" spans="1:11" x14ac:dyDescent="0.25">
      <c r="A284" s="1">
        <v>45087</v>
      </c>
      <c r="B284" t="s">
        <v>10</v>
      </c>
      <c r="C284" t="s">
        <v>18</v>
      </c>
      <c r="D284" t="s">
        <v>14</v>
      </c>
      <c r="E284">
        <v>56</v>
      </c>
      <c r="F284">
        <v>3</v>
      </c>
      <c r="G284">
        <v>1323</v>
      </c>
      <c r="H284">
        <v>5</v>
      </c>
      <c r="I284" t="s">
        <v>16</v>
      </c>
      <c r="J284" s="3">
        <v>3770.5499999999997</v>
      </c>
      <c r="K284" t="str">
        <f t="shared" si="4"/>
        <v>Senior</v>
      </c>
    </row>
    <row r="285" spans="1:11" x14ac:dyDescent="0.25">
      <c r="A285" s="1">
        <v>44994</v>
      </c>
      <c r="B285" t="s">
        <v>17</v>
      </c>
      <c r="C285" t="s">
        <v>18</v>
      </c>
      <c r="D285" t="s">
        <v>12</v>
      </c>
      <c r="E285">
        <v>57</v>
      </c>
      <c r="F285">
        <v>4</v>
      </c>
      <c r="G285">
        <v>1089</v>
      </c>
      <c r="H285">
        <v>15</v>
      </c>
      <c r="I285" t="s">
        <v>19</v>
      </c>
      <c r="J285" s="3">
        <v>3702.6</v>
      </c>
      <c r="K285" t="str">
        <f t="shared" si="4"/>
        <v>Senior</v>
      </c>
    </row>
    <row r="286" spans="1:11" x14ac:dyDescent="0.25">
      <c r="A286" s="1">
        <v>44959</v>
      </c>
      <c r="B286" t="s">
        <v>20</v>
      </c>
      <c r="C286" t="s">
        <v>18</v>
      </c>
      <c r="D286" t="s">
        <v>12</v>
      </c>
      <c r="E286">
        <v>52</v>
      </c>
      <c r="F286">
        <v>9</v>
      </c>
      <c r="G286">
        <v>783</v>
      </c>
      <c r="H286">
        <v>0</v>
      </c>
      <c r="I286" t="s">
        <v>19</v>
      </c>
      <c r="J286" s="3">
        <v>7047</v>
      </c>
      <c r="K286" t="str">
        <f t="shared" si="4"/>
        <v>Senior</v>
      </c>
    </row>
    <row r="287" spans="1:11" x14ac:dyDescent="0.25">
      <c r="A287" s="1">
        <v>45068</v>
      </c>
      <c r="B287" t="s">
        <v>15</v>
      </c>
      <c r="C287" t="s">
        <v>21</v>
      </c>
      <c r="D287" t="s">
        <v>12</v>
      </c>
      <c r="E287">
        <v>51</v>
      </c>
      <c r="F287">
        <v>7</v>
      </c>
      <c r="G287">
        <v>654</v>
      </c>
      <c r="H287">
        <v>15</v>
      </c>
      <c r="I287" t="s">
        <v>16</v>
      </c>
      <c r="J287" s="3">
        <v>3891.2999999999997</v>
      </c>
      <c r="K287" t="str">
        <f t="shared" si="4"/>
        <v>Senior</v>
      </c>
    </row>
    <row r="288" spans="1:11" x14ac:dyDescent="0.25">
      <c r="A288" s="1">
        <v>44947</v>
      </c>
      <c r="B288" t="s">
        <v>15</v>
      </c>
      <c r="C288" t="s">
        <v>18</v>
      </c>
      <c r="D288" t="s">
        <v>12</v>
      </c>
      <c r="E288">
        <v>41</v>
      </c>
      <c r="F288">
        <v>1</v>
      </c>
      <c r="G288">
        <v>1264</v>
      </c>
      <c r="H288">
        <v>20</v>
      </c>
      <c r="I288" t="s">
        <v>19</v>
      </c>
      <c r="J288" s="3">
        <v>1011.2</v>
      </c>
      <c r="K288" t="str">
        <f t="shared" si="4"/>
        <v>Adult</v>
      </c>
    </row>
    <row r="289" spans="1:11" x14ac:dyDescent="0.25">
      <c r="A289" s="1">
        <v>44974</v>
      </c>
      <c r="B289" t="s">
        <v>20</v>
      </c>
      <c r="C289" t="s">
        <v>22</v>
      </c>
      <c r="D289" t="s">
        <v>12</v>
      </c>
      <c r="E289">
        <v>39</v>
      </c>
      <c r="F289">
        <v>4</v>
      </c>
      <c r="G289">
        <v>1192</v>
      </c>
      <c r="H289">
        <v>15</v>
      </c>
      <c r="I289" t="s">
        <v>16</v>
      </c>
      <c r="J289" s="3">
        <v>4052.7999999999997</v>
      </c>
      <c r="K289" t="str">
        <f t="shared" si="4"/>
        <v>Adult</v>
      </c>
    </row>
    <row r="290" spans="1:11" x14ac:dyDescent="0.25">
      <c r="A290" s="1">
        <v>45074</v>
      </c>
      <c r="B290" t="s">
        <v>17</v>
      </c>
      <c r="C290" t="s">
        <v>22</v>
      </c>
      <c r="D290" t="s">
        <v>12</v>
      </c>
      <c r="E290">
        <v>22</v>
      </c>
      <c r="F290">
        <v>4</v>
      </c>
      <c r="G290">
        <v>767</v>
      </c>
      <c r="H290">
        <v>15</v>
      </c>
      <c r="I290" t="s">
        <v>16</v>
      </c>
      <c r="J290" s="3">
        <v>2607.7999999999997</v>
      </c>
      <c r="K290" t="str">
        <f t="shared" si="4"/>
        <v>Youth</v>
      </c>
    </row>
    <row r="291" spans="1:11" x14ac:dyDescent="0.25">
      <c r="A291" s="1">
        <v>45054</v>
      </c>
      <c r="B291" t="s">
        <v>10</v>
      </c>
      <c r="C291" t="s">
        <v>21</v>
      </c>
      <c r="D291" t="s">
        <v>12</v>
      </c>
      <c r="E291">
        <v>50</v>
      </c>
      <c r="F291">
        <v>9</v>
      </c>
      <c r="G291">
        <v>860</v>
      </c>
      <c r="H291">
        <v>15</v>
      </c>
      <c r="I291" t="s">
        <v>13</v>
      </c>
      <c r="J291" s="3">
        <v>6579</v>
      </c>
      <c r="K291" t="str">
        <f t="shared" si="4"/>
        <v>Senior</v>
      </c>
    </row>
    <row r="292" spans="1:11" x14ac:dyDescent="0.25">
      <c r="A292" s="1">
        <v>45062</v>
      </c>
      <c r="B292" t="s">
        <v>10</v>
      </c>
      <c r="C292" t="s">
        <v>18</v>
      </c>
      <c r="D292" t="s">
        <v>12</v>
      </c>
      <c r="E292">
        <v>53</v>
      </c>
      <c r="F292">
        <v>6</v>
      </c>
      <c r="G292">
        <v>664</v>
      </c>
      <c r="H292">
        <v>20</v>
      </c>
      <c r="I292" t="s">
        <v>13</v>
      </c>
      <c r="J292" s="3">
        <v>3187.2000000000003</v>
      </c>
      <c r="K292" t="str">
        <f t="shared" si="4"/>
        <v>Senior</v>
      </c>
    </row>
    <row r="293" spans="1:11" x14ac:dyDescent="0.25">
      <c r="A293" s="1">
        <v>45061</v>
      </c>
      <c r="B293" t="s">
        <v>15</v>
      </c>
      <c r="C293" t="s">
        <v>18</v>
      </c>
      <c r="D293" t="s">
        <v>12</v>
      </c>
      <c r="E293">
        <v>37</v>
      </c>
      <c r="F293">
        <v>9</v>
      </c>
      <c r="G293">
        <v>668</v>
      </c>
      <c r="H293">
        <v>15</v>
      </c>
      <c r="I293" t="s">
        <v>13</v>
      </c>
      <c r="J293" s="3">
        <v>5110.2</v>
      </c>
      <c r="K293" t="str">
        <f t="shared" si="4"/>
        <v>Adult</v>
      </c>
    </row>
    <row r="294" spans="1:11" x14ac:dyDescent="0.25">
      <c r="A294" s="1">
        <v>45071</v>
      </c>
      <c r="B294" t="s">
        <v>17</v>
      </c>
      <c r="C294" t="s">
        <v>18</v>
      </c>
      <c r="D294" t="s">
        <v>12</v>
      </c>
      <c r="E294">
        <v>36</v>
      </c>
      <c r="F294">
        <v>6</v>
      </c>
      <c r="G294">
        <v>1262</v>
      </c>
      <c r="H294">
        <v>5</v>
      </c>
      <c r="I294" t="s">
        <v>13</v>
      </c>
      <c r="J294" s="3">
        <v>7193.4</v>
      </c>
      <c r="K294" t="str">
        <f t="shared" si="4"/>
        <v>Adult</v>
      </c>
    </row>
    <row r="295" spans="1:11" x14ac:dyDescent="0.25">
      <c r="A295" s="1">
        <v>45054</v>
      </c>
      <c r="B295" t="s">
        <v>10</v>
      </c>
      <c r="C295" t="s">
        <v>23</v>
      </c>
      <c r="D295" t="s">
        <v>14</v>
      </c>
      <c r="E295">
        <v>52</v>
      </c>
      <c r="F295">
        <v>6</v>
      </c>
      <c r="G295">
        <v>568</v>
      </c>
      <c r="H295">
        <v>20</v>
      </c>
      <c r="I295" t="s">
        <v>19</v>
      </c>
      <c r="J295" s="3">
        <v>2726.4</v>
      </c>
      <c r="K295" t="str">
        <f t="shared" si="4"/>
        <v>Senior</v>
      </c>
    </row>
    <row r="296" spans="1:11" x14ac:dyDescent="0.25">
      <c r="A296" s="1">
        <v>44959</v>
      </c>
      <c r="B296" t="s">
        <v>17</v>
      </c>
      <c r="C296" t="s">
        <v>11</v>
      </c>
      <c r="D296" t="s">
        <v>14</v>
      </c>
      <c r="E296">
        <v>34</v>
      </c>
      <c r="F296">
        <v>5</v>
      </c>
      <c r="G296">
        <v>1050</v>
      </c>
      <c r="H296">
        <v>15</v>
      </c>
      <c r="I296" t="s">
        <v>13</v>
      </c>
      <c r="J296" s="3">
        <v>4462.5</v>
      </c>
      <c r="K296" t="str">
        <f t="shared" si="4"/>
        <v>Young Adult</v>
      </c>
    </row>
    <row r="297" spans="1:11" x14ac:dyDescent="0.25">
      <c r="A297" s="1">
        <v>45102</v>
      </c>
      <c r="B297" t="s">
        <v>17</v>
      </c>
      <c r="C297" t="s">
        <v>23</v>
      </c>
      <c r="D297" t="s">
        <v>12</v>
      </c>
      <c r="E297">
        <v>51</v>
      </c>
      <c r="F297">
        <v>5</v>
      </c>
      <c r="G297">
        <v>1427</v>
      </c>
      <c r="H297">
        <v>20</v>
      </c>
      <c r="I297" t="s">
        <v>16</v>
      </c>
      <c r="J297" s="3">
        <v>5708</v>
      </c>
      <c r="K297" t="str">
        <f t="shared" si="4"/>
        <v>Senior</v>
      </c>
    </row>
    <row r="298" spans="1:11" x14ac:dyDescent="0.25">
      <c r="A298" s="1">
        <v>45041</v>
      </c>
      <c r="B298" t="s">
        <v>15</v>
      </c>
      <c r="C298" t="s">
        <v>11</v>
      </c>
      <c r="D298" t="s">
        <v>14</v>
      </c>
      <c r="E298">
        <v>26</v>
      </c>
      <c r="F298">
        <v>2</v>
      </c>
      <c r="G298">
        <v>1484</v>
      </c>
      <c r="H298">
        <v>10</v>
      </c>
      <c r="I298" t="s">
        <v>19</v>
      </c>
      <c r="J298" s="3">
        <v>2671.2000000000003</v>
      </c>
      <c r="K298" t="str">
        <f t="shared" si="4"/>
        <v>Young Adult</v>
      </c>
    </row>
    <row r="299" spans="1:11" x14ac:dyDescent="0.25">
      <c r="A299" s="1">
        <v>45045</v>
      </c>
      <c r="B299" t="s">
        <v>10</v>
      </c>
      <c r="C299" t="s">
        <v>18</v>
      </c>
      <c r="D299" t="s">
        <v>14</v>
      </c>
      <c r="E299">
        <v>43</v>
      </c>
      <c r="F299">
        <v>8</v>
      </c>
      <c r="G299">
        <v>1205</v>
      </c>
      <c r="H299">
        <v>5</v>
      </c>
      <c r="I299" t="s">
        <v>13</v>
      </c>
      <c r="J299" s="3">
        <v>9158</v>
      </c>
      <c r="K299" t="str">
        <f t="shared" si="4"/>
        <v>Adult</v>
      </c>
    </row>
    <row r="300" spans="1:11" x14ac:dyDescent="0.25">
      <c r="A300" s="1">
        <v>44948</v>
      </c>
      <c r="B300" t="s">
        <v>20</v>
      </c>
      <c r="C300" t="s">
        <v>18</v>
      </c>
      <c r="D300" t="s">
        <v>12</v>
      </c>
      <c r="E300">
        <v>19</v>
      </c>
      <c r="F300">
        <v>8</v>
      </c>
      <c r="G300">
        <v>573</v>
      </c>
      <c r="H300">
        <v>15</v>
      </c>
      <c r="I300" t="s">
        <v>16</v>
      </c>
      <c r="J300" s="3">
        <v>3896.4</v>
      </c>
      <c r="K300" t="str">
        <f t="shared" si="4"/>
        <v>Youth</v>
      </c>
    </row>
    <row r="301" spans="1:11" x14ac:dyDescent="0.25">
      <c r="A301" s="1">
        <v>45084</v>
      </c>
      <c r="B301" t="s">
        <v>15</v>
      </c>
      <c r="C301" t="s">
        <v>23</v>
      </c>
      <c r="D301" t="s">
        <v>12</v>
      </c>
      <c r="E301">
        <v>26</v>
      </c>
      <c r="F301">
        <v>1</v>
      </c>
      <c r="G301">
        <v>98</v>
      </c>
      <c r="H301">
        <v>10</v>
      </c>
      <c r="I301" t="s">
        <v>19</v>
      </c>
      <c r="J301" s="3">
        <v>88.2</v>
      </c>
      <c r="K301" t="str">
        <f t="shared" si="4"/>
        <v>Young Adult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B755-FBBD-4F6D-BE68-E1779F3D6244}">
  <dimension ref="A4:C51"/>
  <sheetViews>
    <sheetView tabSelected="1" workbookViewId="0">
      <selection activeCell="L50" sqref="L50"/>
    </sheetView>
  </sheetViews>
  <sheetFormatPr defaultRowHeight="15" x14ac:dyDescent="0.25"/>
  <cols>
    <col min="1" max="1" width="13.42578125" bestFit="1" customWidth="1"/>
    <col min="2" max="2" width="18.140625" bestFit="1" customWidth="1"/>
    <col min="3" max="3" width="17.5703125" bestFit="1" customWidth="1"/>
  </cols>
  <sheetData>
    <row r="4" spans="1:2" x14ac:dyDescent="0.25">
      <c r="A4" t="s">
        <v>36</v>
      </c>
    </row>
    <row r="5" spans="1:2" x14ac:dyDescent="0.25">
      <c r="A5" t="s">
        <v>25</v>
      </c>
      <c r="B5" t="s">
        <v>27</v>
      </c>
    </row>
    <row r="6" spans="1:2" x14ac:dyDescent="0.25">
      <c r="A6" s="3">
        <v>1074698.9999999991</v>
      </c>
      <c r="B6" s="2">
        <v>5.01</v>
      </c>
    </row>
    <row r="8" spans="1:2" s="6" customFormat="1" x14ac:dyDescent="0.25"/>
    <row r="9" spans="1:2" x14ac:dyDescent="0.25">
      <c r="A9" s="4" t="s">
        <v>35</v>
      </c>
    </row>
    <row r="10" spans="1:2" x14ac:dyDescent="0.25">
      <c r="A10" s="4" t="s">
        <v>28</v>
      </c>
      <c r="B10" t="s">
        <v>25</v>
      </c>
    </row>
    <row r="11" spans="1:2" x14ac:dyDescent="0.25">
      <c r="A11" s="5" t="s">
        <v>11</v>
      </c>
      <c r="B11" s="3">
        <v>230316.60000000003</v>
      </c>
    </row>
    <row r="12" spans="1:2" x14ac:dyDescent="0.25">
      <c r="A12" s="5" t="s">
        <v>18</v>
      </c>
      <c r="B12" s="3">
        <v>224632.50000000006</v>
      </c>
    </row>
    <row r="13" spans="1:2" x14ac:dyDescent="0.25">
      <c r="A13" s="5" t="s">
        <v>21</v>
      </c>
      <c r="B13" s="3">
        <v>221475.95</v>
      </c>
    </row>
    <row r="14" spans="1:2" x14ac:dyDescent="0.25">
      <c r="A14" s="5" t="s">
        <v>23</v>
      </c>
      <c r="B14" s="3">
        <v>216005.90000000002</v>
      </c>
    </row>
    <row r="15" spans="1:2" x14ac:dyDescent="0.25">
      <c r="A15" s="5" t="s">
        <v>22</v>
      </c>
      <c r="B15" s="3">
        <v>182268.05</v>
      </c>
    </row>
    <row r="16" spans="1:2" x14ac:dyDescent="0.25">
      <c r="A16" s="5" t="s">
        <v>29</v>
      </c>
      <c r="B16" s="3">
        <v>1074699.0000000002</v>
      </c>
    </row>
    <row r="18" spans="1:2" s="6" customFormat="1" x14ac:dyDescent="0.25"/>
    <row r="19" spans="1:2" x14ac:dyDescent="0.25">
      <c r="A19" s="5" t="s">
        <v>34</v>
      </c>
    </row>
    <row r="20" spans="1:2" x14ac:dyDescent="0.25">
      <c r="A20" s="4" t="s">
        <v>28</v>
      </c>
      <c r="B20" t="s">
        <v>25</v>
      </c>
    </row>
    <row r="21" spans="1:2" x14ac:dyDescent="0.25">
      <c r="A21" s="5" t="s">
        <v>20</v>
      </c>
      <c r="B21" s="3">
        <v>289826.90000000002</v>
      </c>
    </row>
    <row r="22" spans="1:2" x14ac:dyDescent="0.25">
      <c r="A22" s="5" t="s">
        <v>10</v>
      </c>
      <c r="B22" s="3">
        <v>282422.6500000002</v>
      </c>
    </row>
    <row r="23" spans="1:2" x14ac:dyDescent="0.25">
      <c r="A23" s="5" t="s">
        <v>17</v>
      </c>
      <c r="B23" s="3">
        <v>262901.70000000007</v>
      </c>
    </row>
    <row r="24" spans="1:2" x14ac:dyDescent="0.25">
      <c r="A24" s="5" t="s">
        <v>15</v>
      </c>
      <c r="B24" s="3">
        <v>239547.74999999991</v>
      </c>
    </row>
    <row r="25" spans="1:2" x14ac:dyDescent="0.25">
      <c r="A25" s="5" t="s">
        <v>29</v>
      </c>
      <c r="B25" s="3">
        <v>1074699.0000000002</v>
      </c>
    </row>
    <row r="27" spans="1:2" s="6" customFormat="1" x14ac:dyDescent="0.25"/>
    <row r="28" spans="1:2" x14ac:dyDescent="0.25">
      <c r="A28" s="5" t="s">
        <v>37</v>
      </c>
    </row>
    <row r="29" spans="1:2" x14ac:dyDescent="0.25">
      <c r="A29" s="4" t="s">
        <v>28</v>
      </c>
      <c r="B29" t="s">
        <v>25</v>
      </c>
    </row>
    <row r="30" spans="1:2" x14ac:dyDescent="0.25">
      <c r="A30" s="5" t="s">
        <v>12</v>
      </c>
      <c r="B30" s="3">
        <v>553980.74999999977</v>
      </c>
    </row>
    <row r="31" spans="1:2" x14ac:dyDescent="0.25">
      <c r="A31" s="5" t="s">
        <v>14</v>
      </c>
      <c r="B31" s="3">
        <v>520718.25000000012</v>
      </c>
    </row>
    <row r="32" spans="1:2" x14ac:dyDescent="0.25">
      <c r="A32" s="5" t="s">
        <v>29</v>
      </c>
      <c r="B32" s="3">
        <v>1074699</v>
      </c>
    </row>
    <row r="34" spans="1:3" s="6" customFormat="1" x14ac:dyDescent="0.25"/>
    <row r="35" spans="1:3" x14ac:dyDescent="0.25">
      <c r="A35" s="5" t="s">
        <v>38</v>
      </c>
    </row>
    <row r="36" spans="1:3" x14ac:dyDescent="0.25">
      <c r="A36" s="4" t="s">
        <v>28</v>
      </c>
      <c r="B36" t="s">
        <v>25</v>
      </c>
      <c r="C36" s="7" t="s">
        <v>39</v>
      </c>
    </row>
    <row r="37" spans="1:3" x14ac:dyDescent="0.25">
      <c r="A37" s="5" t="s">
        <v>32</v>
      </c>
      <c r="B37" s="3">
        <v>437329.00000000012</v>
      </c>
      <c r="C37" s="3">
        <f>GETPIVOTDATA("Total_Sales",$A$36,"Age_Group","Adult")/GETPIVOTDATA("Total_Sales",$A$36)*100</f>
        <v>40.693161527088051</v>
      </c>
    </row>
    <row r="38" spans="1:3" x14ac:dyDescent="0.25">
      <c r="A38" s="5" t="s">
        <v>31</v>
      </c>
      <c r="B38" s="3">
        <v>265897</v>
      </c>
      <c r="C38" s="3">
        <f>GETPIVOTDATA("Total_Sales",$A$36,"Age_Group","Senior")/GETPIVOTDATA("Total_Sales",$A$36)*100</f>
        <v>24.741532280201241</v>
      </c>
    </row>
    <row r="39" spans="1:3" x14ac:dyDescent="0.25">
      <c r="A39" s="5" t="s">
        <v>33</v>
      </c>
      <c r="B39" s="3">
        <v>191996.04999999996</v>
      </c>
      <c r="C39" s="3">
        <f>GETPIVOTDATA("Total_Sales",$A$36,"Age_Group","Youth")/GETPIVOTDATA("Total_Sales",$A$36)*100</f>
        <v>17.865099902391265</v>
      </c>
    </row>
    <row r="40" spans="1:3" x14ac:dyDescent="0.25">
      <c r="A40" s="5" t="s">
        <v>30</v>
      </c>
      <c r="B40" s="3">
        <v>179476.95000000004</v>
      </c>
      <c r="C40" s="3">
        <f>GETPIVOTDATA("Total_Sales",$A$36,"Age_Group","Young Adult")/GETPIVOTDATA("Total_Sales",$A$36)*100</f>
        <v>16.700206290319429</v>
      </c>
    </row>
    <row r="41" spans="1:3" x14ac:dyDescent="0.25">
      <c r="A41" s="5" t="s">
        <v>29</v>
      </c>
      <c r="B41" s="3">
        <v>1074699.0000000002</v>
      </c>
      <c r="C41" s="8">
        <f>100</f>
        <v>100</v>
      </c>
    </row>
    <row r="43" spans="1:3" s="6" customFormat="1" x14ac:dyDescent="0.25"/>
    <row r="44" spans="1:3" x14ac:dyDescent="0.25">
      <c r="A44" s="5" t="s">
        <v>40</v>
      </c>
    </row>
    <row r="45" spans="1:3" x14ac:dyDescent="0.25">
      <c r="A45" s="4" t="s">
        <v>28</v>
      </c>
      <c r="B45" t="s">
        <v>25</v>
      </c>
      <c r="C45" t="s">
        <v>26</v>
      </c>
    </row>
    <row r="46" spans="1:3" x14ac:dyDescent="0.25">
      <c r="A46" s="5">
        <v>0</v>
      </c>
      <c r="B46" s="3">
        <v>211865</v>
      </c>
      <c r="C46" s="2">
        <v>249</v>
      </c>
    </row>
    <row r="47" spans="1:3" x14ac:dyDescent="0.25">
      <c r="A47" s="5">
        <v>5</v>
      </c>
      <c r="B47" s="3">
        <v>252854.85</v>
      </c>
      <c r="C47" s="2">
        <v>340</v>
      </c>
    </row>
    <row r="48" spans="1:3" x14ac:dyDescent="0.25">
      <c r="A48" s="5">
        <v>10</v>
      </c>
      <c r="B48" s="3">
        <v>179453.7</v>
      </c>
      <c r="C48" s="2">
        <v>255</v>
      </c>
    </row>
    <row r="49" spans="1:3" x14ac:dyDescent="0.25">
      <c r="A49" s="5">
        <v>15</v>
      </c>
      <c r="B49" s="3">
        <v>221255.84999999998</v>
      </c>
      <c r="C49" s="2">
        <v>329</v>
      </c>
    </row>
    <row r="50" spans="1:3" x14ac:dyDescent="0.25">
      <c r="A50" s="5">
        <v>20</v>
      </c>
      <c r="B50" s="3">
        <v>209269.60000000006</v>
      </c>
      <c r="C50" s="2">
        <v>330</v>
      </c>
    </row>
    <row r="51" spans="1:3" x14ac:dyDescent="0.25">
      <c r="A51" s="5" t="s">
        <v>29</v>
      </c>
      <c r="B51" s="3">
        <v>1074699</v>
      </c>
      <c r="C51" s="2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retail_sales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Mugwagwa</dc:creator>
  <cp:lastModifiedBy>Terence Mugwagwa</cp:lastModifiedBy>
  <dcterms:created xsi:type="dcterms:W3CDTF">2025-11-30T19:00:33Z</dcterms:created>
  <dcterms:modified xsi:type="dcterms:W3CDTF">2025-11-30T19:00:33Z</dcterms:modified>
</cp:coreProperties>
</file>